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<sst xmlns="http://schemas.openxmlformats.org/spreadsheetml/2006/main" count="187" uniqueCount="111">
  <si>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</si>
  <si>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</si>
  <si>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</si>
  <si>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</si>
  <si>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</si>
  <si>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</si>
  <si>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</si>
  <si>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</si>
  <si>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</si>
  <si>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</si>
  <si>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</si>
  <si>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</si>
  <si>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113-8505576-9583400</t>
  </si>
  <si>
    <t>wooden board</t>
  </si>
  <si>
    <t>66909dbe5da9b</t>
  </si>
  <si>
    <t>Andreina Boudle</t>
  </si>
  <si>
    <t>4550 Poinciana Street</t>
  </si>
  <si>
    <t>Lauderdale by the Sea</t>
  </si>
  <si>
    <t>FL</t>
  </si>
  <si>
    <t>US</t>
  </si>
  <si>
    <t>111-8635624-0753867</t>
  </si>
  <si>
    <t>Melody Calix</t>
  </si>
  <si>
    <t>17348 BURBANK BLVD APT 2</t>
  </si>
  <si>
    <t>ENCINO</t>
  </si>
  <si>
    <t>91316-1749</t>
  </si>
  <si>
    <t>CA</t>
  </si>
  <si>
    <t>111-6548221-5622662</t>
  </si>
  <si>
    <t>Jorge Eduardo Ponce Zea</t>
  </si>
  <si>
    <t>38 FOREST GLEN DR</t>
  </si>
  <si>
    <t>HIGHLAND PARK</t>
  </si>
  <si>
    <t>08904-1935</t>
  </si>
  <si>
    <t>NJ</t>
  </si>
  <si>
    <t>113-0134981-9509840</t>
  </si>
  <si>
    <t>K Garcia</t>
  </si>
  <si>
    <t>2734 E 6TH ST APT 7</t>
  </si>
  <si>
    <t>LOS ANGELES</t>
  </si>
  <si>
    <t>90023-1406</t>
  </si>
  <si>
    <t>111-4950281-6100252</t>
  </si>
  <si>
    <t>Tuyen Mallela</t>
  </si>
  <si>
    <t>500 E 77TH ST APT 1603</t>
  </si>
  <si>
    <t>NEW YORK</t>
  </si>
  <si>
    <t>10162-0027</t>
  </si>
  <si>
    <t>NY</t>
  </si>
  <si>
    <t>112-8068973-2747405</t>
  </si>
  <si>
    <t>Jessica Tavarez</t>
  </si>
  <si>
    <t>53 BRANDEIS RD</t>
  </si>
  <si>
    <t>NEWTON CENTER</t>
  </si>
  <si>
    <t>02459-2707</t>
  </si>
  <si>
    <t>MA</t>
  </si>
  <si>
    <t>112-2272946-2613843</t>
  </si>
  <si>
    <t>Andrea Stahlnecker</t>
  </si>
  <si>
    <t>52 FITZPATRICK LN</t>
  </si>
  <si>
    <t>DUSHORE</t>
  </si>
  <si>
    <t>18614-8000</t>
  </si>
  <si>
    <t>PA</t>
  </si>
  <si>
    <t>112-4200462-5138619</t>
  </si>
  <si>
    <t>NICO Fuentes</t>
  </si>
  <si>
    <t>4350 N ASHLAND AVE APT 4</t>
  </si>
  <si>
    <t>CHICAGO</t>
  </si>
  <si>
    <t>60613-1221</t>
  </si>
  <si>
    <t>IL</t>
  </si>
  <si>
    <t>111-8741509-3073044</t>
  </si>
  <si>
    <t>beth Schmidt</t>
  </si>
  <si>
    <t>1218 13TH AVE SW</t>
  </si>
  <si>
    <t>ABERDEEN</t>
  </si>
  <si>
    <t>57401-6853</t>
  </si>
  <si>
    <t>SD</t>
  </si>
  <si>
    <t>113-3793176-8022615</t>
  </si>
  <si>
    <t>Jessie Young</t>
  </si>
  <si>
    <t>3143 GARDEN LANE DR</t>
  </si>
  <si>
    <t>MARIETTA</t>
  </si>
  <si>
    <t>30062-4822</t>
  </si>
  <si>
    <t>GA</t>
  </si>
  <si>
    <t>111-4675665-3005025</t>
  </si>
  <si>
    <t>Tara Derenzo</t>
  </si>
  <si>
    <t>15 WERIMUS BROOK RD</t>
  </si>
  <si>
    <t>SADDLE RIVER</t>
  </si>
  <si>
    <t>07458-3118</t>
  </si>
  <si>
    <t>112-9480303-9255467</t>
  </si>
  <si>
    <t>Carmen Pullin</t>
  </si>
  <si>
    <t>13600 PHOENIX DR</t>
  </si>
  <si>
    <t>ORLANDO</t>
  </si>
  <si>
    <t>32828-9338</t>
  </si>
  <si>
    <t>111-5711383-0589006</t>
  </si>
  <si>
    <t>Catarina</t>
  </si>
  <si>
    <t>8257 FULHAM CT</t>
  </si>
  <si>
    <t>LAS VEGAS</t>
  </si>
  <si>
    <t>89139-7271</t>
  </si>
  <si>
    <t>NV</t>
  </si>
  <si>
    <t>TK18251</t>
  </si>
  <si>
    <t>Coley Siegel</t>
  </si>
  <si>
    <t>799 Crandon Blvd</t>
  </si>
  <si>
    <t>Apt 203</t>
  </si>
  <si>
    <t>Key Biscayne</t>
  </si>
  <si>
    <t>TK18212-re</t>
  </si>
  <si>
    <t>Alexa Browning</t>
  </si>
  <si>
    <t>852 Tenth St</t>
  </si>
  <si>
    <t>Manhattan Beach</t>
  </si>
  <si>
    <t>TK18210-re</t>
  </si>
  <si>
    <t>Giselle Huerta</t>
  </si>
  <si>
    <t>70 Conant St</t>
  </si>
  <si>
    <t>Concord</t>
  </si>
  <si>
    <t>TK18253</t>
  </si>
  <si>
    <t>Hilda Dadasovich</t>
  </si>
  <si>
    <t>145 Marie Ave</t>
  </si>
  <si>
    <t>Manteca</t>
  </si>
  <si>
    <t>TK18281</t>
  </si>
  <si>
    <t>Amanda Wambold</t>
  </si>
  <si>
    <t>5714 W Washington Blvd</t>
  </si>
  <si>
    <t>Milwaukee</t>
  </si>
  <si>
    <t>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</si>
</sst>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6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7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>
        <v>33308.0</v>
      </c>
      <c r="J2" s="5" t="s">
        <v>18</v>
      </c>
      <c r="K2" s="5" t="s">
        <v>19</v>
      </c>
      <c r="L2" s="5">
        <v>9.542605888E9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5" t="s">
        <v>21</v>
      </c>
      <c r="F3" s="5" t="s">
        <v>22</v>
      </c>
      <c r="H3" s="5" t="s">
        <v>23</v>
      </c>
      <c r="I3" s="5" t="s">
        <v>24</v>
      </c>
      <c r="J3" s="5" t="s">
        <v>25</v>
      </c>
      <c r="K3" s="5" t="s">
        <v>19</v>
      </c>
      <c r="L3" s="5">
        <v>8.184700377E9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26</v>
      </c>
      <c r="B4" s="6" t="s">
        <v>13</v>
      </c>
      <c r="C4" s="6" t="s">
        <v>14</v>
      </c>
      <c r="D4" s="7">
        <v>1.0</v>
      </c>
      <c r="E4" s="5" t="s">
        <v>27</v>
      </c>
      <c r="F4" s="5" t="s">
        <v>28</v>
      </c>
      <c r="H4" s="5" t="s">
        <v>29</v>
      </c>
      <c r="I4" s="5" t="s">
        <v>30</v>
      </c>
      <c r="J4" s="5" t="s">
        <v>31</v>
      </c>
      <c r="K4" s="5" t="s">
        <v>19</v>
      </c>
      <c r="L4" s="5">
        <v>7.325588871E9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H5" s="5" t="s">
        <v>35</v>
      </c>
      <c r="I5" s="5" t="s">
        <v>36</v>
      </c>
      <c r="J5" s="5" t="s">
        <v>25</v>
      </c>
      <c r="K5" s="5" t="s">
        <v>19</v>
      </c>
      <c r="L5" s="5">
        <v>9.253834636E9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37</v>
      </c>
      <c r="B6" s="6" t="s">
        <v>13</v>
      </c>
      <c r="C6" s="6" t="s">
        <v>14</v>
      </c>
      <c r="D6" s="7">
        <v>1.0</v>
      </c>
      <c r="E6" s="5" t="s">
        <v>38</v>
      </c>
      <c r="F6" s="5" t="s">
        <v>39</v>
      </c>
      <c r="H6" s="5" t="s">
        <v>40</v>
      </c>
      <c r="I6" s="5" t="s">
        <v>41</v>
      </c>
      <c r="J6" s="5" t="s">
        <v>42</v>
      </c>
      <c r="K6" s="5" t="s">
        <v>19</v>
      </c>
      <c r="L6" s="5">
        <v>4.437390106E9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43</v>
      </c>
      <c r="B7" s="6" t="s">
        <v>13</v>
      </c>
      <c r="C7" s="6" t="s">
        <v>14</v>
      </c>
      <c r="D7" s="7">
        <v>1.0</v>
      </c>
      <c r="E7" s="5" t="s">
        <v>44</v>
      </c>
      <c r="F7" s="5" t="s">
        <v>45</v>
      </c>
      <c r="H7" s="5" t="s">
        <v>46</v>
      </c>
      <c r="I7" s="5" t="s">
        <v>47</v>
      </c>
      <c r="J7" s="5" t="s">
        <v>48</v>
      </c>
      <c r="K7" s="5" t="s">
        <v>19</v>
      </c>
      <c r="L7" s="11">
        <f t="shared" ref="L7:L8" si="1">+17189096373</f>
        <v>17189096373</v>
      </c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43</v>
      </c>
      <c r="B8" s="6" t="s">
        <v>13</v>
      </c>
      <c r="C8" s="6" t="s">
        <v>14</v>
      </c>
      <c r="D8" s="7">
        <v>1.0</v>
      </c>
      <c r="E8" s="5" t="s">
        <v>44</v>
      </c>
      <c r="F8" s="5" t="s">
        <v>45</v>
      </c>
      <c r="H8" s="5" t="s">
        <v>46</v>
      </c>
      <c r="I8" s="5" t="s">
        <v>47</v>
      </c>
      <c r="J8" s="5" t="s">
        <v>48</v>
      </c>
      <c r="K8" s="5" t="s">
        <v>19</v>
      </c>
      <c r="L8" s="11">
        <f t="shared" si="1"/>
        <v>17189096373</v>
      </c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49</v>
      </c>
      <c r="B9" s="6" t="s">
        <v>13</v>
      </c>
      <c r="C9" s="6" t="s">
        <v>14</v>
      </c>
      <c r="D9" s="7">
        <v>1.0</v>
      </c>
      <c r="E9" s="5" t="s">
        <v>50</v>
      </c>
      <c r="F9" s="5" t="s">
        <v>51</v>
      </c>
      <c r="H9" s="5" t="s">
        <v>52</v>
      </c>
      <c r="I9" s="5" t="s">
        <v>53</v>
      </c>
      <c r="J9" s="5" t="s">
        <v>54</v>
      </c>
      <c r="K9" s="5" t="s">
        <v>19</v>
      </c>
      <c r="L9" s="12">
        <f>+15702597623</f>
        <v>15702597623</v>
      </c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55</v>
      </c>
      <c r="B10" s="6" t="s">
        <v>13</v>
      </c>
      <c r="C10" s="6" t="s">
        <v>14</v>
      </c>
      <c r="D10" s="7">
        <v>1.0</v>
      </c>
      <c r="E10" s="5" t="s">
        <v>56</v>
      </c>
      <c r="F10" s="5" t="s">
        <v>57</v>
      </c>
      <c r="H10" s="5" t="s">
        <v>58</v>
      </c>
      <c r="I10" s="5" t="s">
        <v>59</v>
      </c>
      <c r="J10" s="5" t="s">
        <v>60</v>
      </c>
      <c r="K10" s="5" t="s">
        <v>19</v>
      </c>
      <c r="L10" s="11">
        <f>+17737490697</f>
        <v>17737490697</v>
      </c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61</v>
      </c>
      <c r="B11" s="6" t="s">
        <v>13</v>
      </c>
      <c r="C11" s="6" t="s">
        <v>14</v>
      </c>
      <c r="D11" s="7">
        <v>1.0</v>
      </c>
      <c r="E11" s="5" t="s">
        <v>62</v>
      </c>
      <c r="F11" s="5" t="s">
        <v>63</v>
      </c>
      <c r="H11" s="5" t="s">
        <v>64</v>
      </c>
      <c r="I11" s="5" t="s">
        <v>65</v>
      </c>
      <c r="J11" s="5" t="s">
        <v>66</v>
      </c>
      <c r="K11" s="5" t="s">
        <v>19</v>
      </c>
      <c r="L11" s="5">
        <v>6.05380546E9</v>
      </c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67</v>
      </c>
      <c r="B12" s="6" t="s">
        <v>13</v>
      </c>
      <c r="C12" s="6" t="s">
        <v>14</v>
      </c>
      <c r="D12" s="7">
        <v>1.0</v>
      </c>
      <c r="E12" s="5" t="s">
        <v>68</v>
      </c>
      <c r="F12" s="5" t="s">
        <v>69</v>
      </c>
      <c r="H12" s="5" t="s">
        <v>70</v>
      </c>
      <c r="I12" s="5" t="s">
        <v>71</v>
      </c>
      <c r="J12" s="5" t="s">
        <v>72</v>
      </c>
      <c r="K12" s="5" t="s">
        <v>19</v>
      </c>
      <c r="L12" s="11">
        <f>+19313027013</f>
        <v>19313027013</v>
      </c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73</v>
      </c>
      <c r="B13" s="6" t="s">
        <v>13</v>
      </c>
      <c r="C13" s="6" t="s">
        <v>14</v>
      </c>
      <c r="D13" s="7">
        <v>1.0</v>
      </c>
      <c r="E13" s="5" t="s">
        <v>74</v>
      </c>
      <c r="F13" s="5" t="s">
        <v>75</v>
      </c>
      <c r="H13" s="5" t="s">
        <v>76</v>
      </c>
      <c r="I13" s="5" t="s">
        <v>77</v>
      </c>
      <c r="J13" s="5" t="s">
        <v>31</v>
      </c>
      <c r="K13" s="5" t="s">
        <v>19</v>
      </c>
      <c r="L13" s="11">
        <f>+17326911882</f>
        <v>17326911882</v>
      </c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78</v>
      </c>
      <c r="B14" s="6" t="s">
        <v>13</v>
      </c>
      <c r="C14" s="6" t="s">
        <v>14</v>
      </c>
      <c r="D14" s="7">
        <v>1.0</v>
      </c>
      <c r="E14" s="5" t="s">
        <v>79</v>
      </c>
      <c r="F14" s="5" t="s">
        <v>80</v>
      </c>
      <c r="H14" s="5" t="s">
        <v>81</v>
      </c>
      <c r="I14" s="5" t="s">
        <v>82</v>
      </c>
      <c r="J14" s="5" t="s">
        <v>18</v>
      </c>
      <c r="K14" s="5" t="s">
        <v>19</v>
      </c>
      <c r="L14" s="5">
        <v>3.213328977E9</v>
      </c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83</v>
      </c>
      <c r="B15" s="6" t="s">
        <v>13</v>
      </c>
      <c r="C15" s="6" t="s">
        <v>14</v>
      </c>
      <c r="D15" s="7">
        <v>1.0</v>
      </c>
      <c r="E15" s="5" t="s">
        <v>84</v>
      </c>
      <c r="F15" s="5" t="s">
        <v>85</v>
      </c>
      <c r="H15" s="5" t="s">
        <v>86</v>
      </c>
      <c r="I15" s="5" t="s">
        <v>87</v>
      </c>
      <c r="J15" s="5" t="s">
        <v>88</v>
      </c>
      <c r="K15" s="5" t="s">
        <v>19</v>
      </c>
      <c r="L15" s="11">
        <f t="shared" ref="L15:L16" si="2">+17028999384</f>
        <v>17028999384</v>
      </c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83</v>
      </c>
      <c r="B16" s="6" t="s">
        <v>13</v>
      </c>
      <c r="C16" s="6" t="s">
        <v>14</v>
      </c>
      <c r="D16" s="7">
        <v>1.0</v>
      </c>
      <c r="E16" s="5" t="s">
        <v>84</v>
      </c>
      <c r="F16" s="5" t="s">
        <v>85</v>
      </c>
      <c r="H16" s="5" t="s">
        <v>86</v>
      </c>
      <c r="I16" s="5" t="s">
        <v>87</v>
      </c>
      <c r="J16" s="5" t="s">
        <v>88</v>
      </c>
      <c r="K16" s="5" t="s">
        <v>19</v>
      </c>
      <c r="L16" s="11">
        <f t="shared" si="2"/>
        <v>17028999384</v>
      </c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 t="s">
        <v>89</v>
      </c>
      <c r="B17" s="6" t="s">
        <v>13</v>
      </c>
      <c r="C17" s="6" t="s">
        <v>14</v>
      </c>
      <c r="D17" s="7">
        <v>1.0</v>
      </c>
      <c r="E17" s="5" t="s">
        <v>90</v>
      </c>
      <c r="F17" s="5" t="s">
        <v>91</v>
      </c>
      <c r="G17" s="5" t="s">
        <v>92</v>
      </c>
      <c r="H17" s="5" t="s">
        <v>93</v>
      </c>
      <c r="I17" s="5">
        <v>33149.0</v>
      </c>
      <c r="J17" s="5" t="s">
        <v>18</v>
      </c>
      <c r="K17" s="5" t="s">
        <v>19</v>
      </c>
      <c r="L17" s="11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 t="s">
        <v>94</v>
      </c>
      <c r="B18" s="6" t="s">
        <v>13</v>
      </c>
      <c r="C18" s="6" t="s">
        <v>14</v>
      </c>
      <c r="D18" s="7">
        <v>1.0</v>
      </c>
      <c r="E18" s="5" t="s">
        <v>95</v>
      </c>
      <c r="F18" s="5" t="s">
        <v>96</v>
      </c>
      <c r="H18" s="5" t="s">
        <v>97</v>
      </c>
      <c r="I18" s="5">
        <v>90266.0</v>
      </c>
      <c r="J18" s="5" t="s">
        <v>25</v>
      </c>
      <c r="K18" s="5" t="s">
        <v>19</v>
      </c>
      <c r="L18" s="11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 t="s">
        <v>98</v>
      </c>
      <c r="B19" s="6" t="s">
        <v>13</v>
      </c>
      <c r="C19" s="6" t="s">
        <v>14</v>
      </c>
      <c r="D19" s="7">
        <v>1.0</v>
      </c>
      <c r="E19" s="5" t="s">
        <v>99</v>
      </c>
      <c r="F19" s="5" t="s">
        <v>100</v>
      </c>
      <c r="H19" s="5" t="s">
        <v>101</v>
      </c>
      <c r="I19" s="5">
        <v>1742.0</v>
      </c>
      <c r="J19" s="5" t="s">
        <v>48</v>
      </c>
      <c r="K19" s="5" t="s">
        <v>19</v>
      </c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" t="s">
        <v>102</v>
      </c>
      <c r="B20" s="6" t="s">
        <v>13</v>
      </c>
      <c r="C20" s="6" t="s">
        <v>14</v>
      </c>
      <c r="D20" s="7">
        <v>1.0</v>
      </c>
      <c r="E20" s="5" t="s">
        <v>103</v>
      </c>
      <c r="F20" s="5" t="s">
        <v>104</v>
      </c>
      <c r="H20" s="5" t="s">
        <v>105</v>
      </c>
      <c r="I20" s="5">
        <v>95336.0</v>
      </c>
      <c r="J20" s="5" t="s">
        <v>25</v>
      </c>
      <c r="K20" s="5" t="s">
        <v>19</v>
      </c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" t="s">
        <v>106</v>
      </c>
      <c r="B21" s="6" t="s">
        <v>13</v>
      </c>
      <c r="C21" s="6" t="s">
        <v>14</v>
      </c>
      <c r="D21" s="7">
        <v>1.0</v>
      </c>
      <c r="E21" s="5" t="s">
        <v>107</v>
      </c>
      <c r="F21" s="5" t="s">
        <v>108</v>
      </c>
      <c r="H21" s="5" t="s">
        <v>109</v>
      </c>
      <c r="I21" s="5">
        <v>53208.0</v>
      </c>
      <c r="J21" s="5" t="s">
        <v>110</v>
      </c>
      <c r="K21" s="5" t="s">
        <v>19</v>
      </c>
      <c r="L21" s="5">
        <v>1.4142326562E10</v>
      </c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8"/>
      <c r="B22" s="6"/>
      <c r="C22" s="6"/>
      <c r="D22" s="7"/>
      <c r="E22" s="13"/>
      <c r="F22" s="8"/>
      <c r="H22" s="8"/>
      <c r="I22" s="8"/>
      <c r="J22" s="8"/>
      <c r="K22" s="14"/>
      <c r="L22" s="8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8"/>
      <c r="B23" s="6"/>
      <c r="C23" s="6"/>
      <c r="D23" s="7"/>
      <c r="E23" s="15"/>
      <c r="F23" s="14"/>
      <c r="H23" s="8"/>
      <c r="I23" s="14"/>
      <c r="J23" s="14"/>
      <c r="K23" s="14"/>
      <c r="L23" s="8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6"/>
      <c r="B24" s="16"/>
      <c r="C24" s="16"/>
      <c r="D24" s="16"/>
      <c r="E24" s="17"/>
      <c r="F24" s="16"/>
      <c r="H24" s="16"/>
      <c r="I24" s="16"/>
      <c r="J24" s="16"/>
      <c r="K24" s="16"/>
      <c r="L24" s="16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6"/>
      <c r="B25" s="16"/>
      <c r="C25" s="16"/>
      <c r="D25" s="16"/>
      <c r="E25" s="17"/>
      <c r="F25" s="16"/>
      <c r="H25" s="16"/>
      <c r="I25" s="16"/>
      <c r="J25" s="16"/>
      <c r="K25" s="16"/>
      <c r="L25" s="16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6"/>
      <c r="B26" s="16"/>
      <c r="C26" s="16"/>
      <c r="D26" s="16"/>
      <c r="E26" s="17"/>
      <c r="F26" s="16"/>
      <c r="H26" s="16"/>
      <c r="I26" s="16"/>
      <c r="J26" s="16"/>
      <c r="K26" s="16"/>
      <c r="L26" s="16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6"/>
      <c r="B27" s="16"/>
      <c r="C27" s="16"/>
      <c r="D27" s="16"/>
      <c r="E27" s="17"/>
      <c r="F27" s="16"/>
      <c r="H27" s="16"/>
      <c r="I27" s="16"/>
      <c r="J27" s="16"/>
      <c r="K27" s="16"/>
      <c r="L27" s="16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6"/>
      <c r="B28" s="16"/>
      <c r="C28" s="16"/>
      <c r="D28" s="16"/>
      <c r="E28" s="17"/>
      <c r="F28" s="16"/>
      <c r="H28" s="16"/>
      <c r="I28" s="16"/>
      <c r="J28" s="16"/>
      <c r="K28" s="16"/>
      <c r="L28" s="16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16"/>
      <c r="B537" s="16"/>
      <c r="C537" s="16"/>
      <c r="D537" s="16"/>
      <c r="E537" s="17"/>
      <c r="F537" s="16"/>
      <c r="G537" s="16"/>
      <c r="H537" s="16"/>
      <c r="I537" s="16"/>
      <c r="J537" s="16"/>
      <c r="K537" s="16"/>
      <c r="L537" s="16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16"/>
      <c r="B538" s="16"/>
      <c r="C538" s="16"/>
      <c r="D538" s="16"/>
      <c r="E538" s="17"/>
      <c r="F538" s="16"/>
      <c r="G538" s="16"/>
      <c r="H538" s="16"/>
      <c r="I538" s="16"/>
      <c r="J538" s="16"/>
      <c r="K538" s="16"/>
      <c r="L538" s="16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16"/>
      <c r="B539" s="16"/>
      <c r="C539" s="16"/>
      <c r="D539" s="16"/>
      <c r="E539" s="17"/>
      <c r="F539" s="16"/>
      <c r="G539" s="16"/>
      <c r="H539" s="16"/>
      <c r="I539" s="16"/>
      <c r="J539" s="16"/>
      <c r="K539" s="16"/>
      <c r="L539" s="16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16"/>
      <c r="B540" s="16"/>
      <c r="C540" s="16"/>
      <c r="D540" s="16"/>
      <c r="E540" s="17"/>
      <c r="F540" s="16"/>
      <c r="G540" s="16"/>
      <c r="H540" s="16"/>
      <c r="I540" s="16"/>
      <c r="J540" s="16"/>
      <c r="K540" s="16"/>
      <c r="L540" s="16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16"/>
      <c r="B541" s="16"/>
      <c r="C541" s="16"/>
      <c r="D541" s="16"/>
      <c r="E541" s="17"/>
      <c r="F541" s="16"/>
      <c r="G541" s="16"/>
      <c r="H541" s="16"/>
      <c r="I541" s="16"/>
      <c r="J541" s="16"/>
      <c r="K541" s="16"/>
      <c r="L541" s="16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16"/>
      <c r="B542" s="16"/>
      <c r="C542" s="16"/>
      <c r="D542" s="16"/>
      <c r="E542" s="17"/>
      <c r="F542" s="16"/>
      <c r="G542" s="16"/>
      <c r="H542" s="16"/>
      <c r="I542" s="16"/>
      <c r="J542" s="16"/>
      <c r="K542" s="16"/>
      <c r="L542" s="16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16"/>
      <c r="B543" s="16"/>
      <c r="C543" s="16"/>
      <c r="D543" s="16"/>
      <c r="E543" s="17"/>
      <c r="F543" s="16"/>
      <c r="G543" s="16"/>
      <c r="H543" s="16"/>
      <c r="I543" s="16"/>
      <c r="J543" s="16"/>
      <c r="K543" s="16"/>
      <c r="L543" s="16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16"/>
      <c r="B544" s="16"/>
      <c r="C544" s="16"/>
      <c r="D544" s="16"/>
      <c r="E544" s="17"/>
      <c r="F544" s="16"/>
      <c r="G544" s="16"/>
      <c r="H544" s="16"/>
      <c r="I544" s="16"/>
      <c r="J544" s="16"/>
      <c r="K544" s="16"/>
      <c r="L544" s="16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16"/>
      <c r="B545" s="16"/>
      <c r="C545" s="16"/>
      <c r="D545" s="16"/>
      <c r="E545" s="17"/>
      <c r="F545" s="16"/>
      <c r="G545" s="16"/>
      <c r="H545" s="16"/>
      <c r="I545" s="16"/>
      <c r="J545" s="16"/>
      <c r="K545" s="16"/>
      <c r="L545" s="16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16"/>
      <c r="B546" s="16"/>
      <c r="C546" s="16"/>
      <c r="D546" s="16"/>
      <c r="E546" s="17"/>
      <c r="F546" s="16"/>
      <c r="G546" s="16"/>
      <c r="H546" s="16"/>
      <c r="I546" s="16"/>
      <c r="J546" s="16"/>
      <c r="K546" s="16"/>
      <c r="L546" s="16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16"/>
      <c r="B547" s="16"/>
      <c r="C547" s="16"/>
      <c r="D547" s="16"/>
      <c r="E547" s="17"/>
      <c r="F547" s="16"/>
      <c r="G547" s="16"/>
      <c r="H547" s="16"/>
      <c r="I547" s="16"/>
      <c r="J547" s="16"/>
      <c r="K547" s="16"/>
      <c r="L547" s="16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16"/>
      <c r="B548" s="16"/>
      <c r="C548" s="16"/>
      <c r="D548" s="16"/>
      <c r="E548" s="17"/>
      <c r="F548" s="16"/>
      <c r="G548" s="16"/>
      <c r="H548" s="16"/>
      <c r="I548" s="16"/>
      <c r="J548" s="16"/>
      <c r="K548" s="16"/>
      <c r="L548" s="16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16"/>
      <c r="B549" s="16"/>
      <c r="C549" s="16"/>
      <c r="D549" s="16"/>
      <c r="E549" s="17"/>
      <c r="F549" s="16"/>
      <c r="G549" s="16"/>
      <c r="H549" s="16"/>
      <c r="I549" s="16"/>
      <c r="J549" s="16"/>
      <c r="K549" s="16"/>
      <c r="L549" s="16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16"/>
      <c r="B550" s="16"/>
      <c r="C550" s="16"/>
      <c r="D550" s="16"/>
      <c r="E550" s="17"/>
      <c r="F550" s="16"/>
      <c r="G550" s="16"/>
      <c r="H550" s="16"/>
      <c r="I550" s="16"/>
      <c r="J550" s="16"/>
      <c r="K550" s="16"/>
      <c r="L550" s="16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16"/>
      <c r="B551" s="16"/>
      <c r="C551" s="16"/>
      <c r="D551" s="16"/>
      <c r="E551" s="17"/>
      <c r="F551" s="16"/>
      <c r="G551" s="16"/>
      <c r="H551" s="16"/>
      <c r="I551" s="16"/>
      <c r="J551" s="16"/>
      <c r="K551" s="16"/>
      <c r="L551" s="16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16"/>
      <c r="B552" s="16"/>
      <c r="C552" s="16"/>
      <c r="D552" s="16"/>
      <c r="E552" s="17"/>
      <c r="F552" s="16"/>
      <c r="G552" s="16"/>
      <c r="H552" s="16"/>
      <c r="I552" s="16"/>
      <c r="J552" s="16"/>
      <c r="K552" s="16"/>
      <c r="L552" s="16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16"/>
      <c r="B553" s="16"/>
      <c r="C553" s="16"/>
      <c r="D553" s="16"/>
      <c r="E553" s="17"/>
      <c r="F553" s="16"/>
      <c r="G553" s="16"/>
      <c r="H553" s="16"/>
      <c r="I553" s="16"/>
      <c r="J553" s="16"/>
      <c r="K553" s="16"/>
      <c r="L553" s="16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16"/>
      <c r="B554" s="16"/>
      <c r="C554" s="16"/>
      <c r="D554" s="16"/>
      <c r="E554" s="17"/>
      <c r="F554" s="16"/>
      <c r="G554" s="16"/>
      <c r="H554" s="16"/>
      <c r="I554" s="16"/>
      <c r="J554" s="16"/>
      <c r="K554" s="16"/>
      <c r="L554" s="16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16"/>
      <c r="B555" s="16"/>
      <c r="C555" s="16"/>
      <c r="D555" s="16"/>
      <c r="E555" s="17"/>
      <c r="F555" s="16"/>
      <c r="G555" s="16"/>
      <c r="H555" s="16"/>
      <c r="I555" s="16"/>
      <c r="J555" s="16"/>
      <c r="K555" s="16"/>
      <c r="L555" s="16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16"/>
      <c r="B556" s="16"/>
      <c r="C556" s="16"/>
      <c r="D556" s="16"/>
      <c r="E556" s="17"/>
      <c r="F556" s="16"/>
      <c r="G556" s="16"/>
      <c r="H556" s="16"/>
      <c r="I556" s="16"/>
      <c r="J556" s="16"/>
      <c r="K556" s="16"/>
      <c r="L556" s="16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16"/>
      <c r="B557" s="16"/>
      <c r="C557" s="16"/>
      <c r="D557" s="16"/>
      <c r="E557" s="17"/>
      <c r="F557" s="16"/>
      <c r="G557" s="16"/>
      <c r="H557" s="16"/>
      <c r="I557" s="16"/>
      <c r="J557" s="16"/>
      <c r="K557" s="16"/>
      <c r="L557" s="16"/>
      <c r="M557" s="10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34.5" customHeight="1">
      <c r="A558" s="16"/>
      <c r="B558" s="16"/>
      <c r="C558" s="16"/>
      <c r="D558" s="16"/>
      <c r="E558" s="17"/>
      <c r="F558" s="16"/>
      <c r="G558" s="16"/>
      <c r="H558" s="16"/>
      <c r="I558" s="16"/>
      <c r="J558" s="16"/>
      <c r="K558" s="16"/>
      <c r="L558" s="16"/>
      <c r="M558" s="10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34.5" customHeight="1">
      <c r="A559" s="16"/>
      <c r="B559" s="16"/>
      <c r="C559" s="16"/>
      <c r="D559" s="16"/>
      <c r="E559" s="17"/>
      <c r="F559" s="16"/>
      <c r="G559" s="16"/>
      <c r="H559" s="16"/>
      <c r="I559" s="16"/>
      <c r="J559" s="16"/>
      <c r="K559" s="16"/>
      <c r="L559" s="16"/>
      <c r="M559" s="10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34.5" customHeight="1">
      <c r="A560" s="16"/>
      <c r="B560" s="16"/>
      <c r="C560" s="16"/>
      <c r="D560" s="16"/>
      <c r="E560" s="17"/>
      <c r="F560" s="16"/>
      <c r="G560" s="16"/>
      <c r="H560" s="16"/>
      <c r="I560" s="16"/>
      <c r="J560" s="16"/>
      <c r="K560" s="16"/>
      <c r="L560" s="16"/>
      <c r="M560" s="10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34.5" customHeight="1">
      <c r="A561" s="16"/>
      <c r="B561" s="16"/>
      <c r="C561" s="16"/>
      <c r="D561" s="16"/>
      <c r="E561" s="17"/>
      <c r="F561" s="16"/>
      <c r="G561" s="16"/>
      <c r="H561" s="16"/>
      <c r="I561" s="16"/>
      <c r="J561" s="16"/>
      <c r="K561" s="16"/>
      <c r="L561" s="16"/>
      <c r="M561" s="10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34.5" customHeight="1">
      <c r="A562" s="16"/>
      <c r="B562" s="16"/>
      <c r="C562" s="16"/>
      <c r="D562" s="16"/>
      <c r="E562" s="17"/>
      <c r="F562" s="16"/>
      <c r="G562" s="16"/>
      <c r="H562" s="16"/>
      <c r="I562" s="16"/>
      <c r="J562" s="16"/>
      <c r="K562" s="16"/>
      <c r="L562" s="16"/>
      <c r="M562" s="10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