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Sheet1!$A$1:$L$22</definedName>
  </definedNames>
  <calcPr/>
  <extLst>
    <ext uri="GoogleSheetsCustomDataVersion2">
      <go:sheetsCustomData xmlns:go="http://customooxmlschemas.google.com/" r:id="rId5" roundtripDataChecksum="r3Fsh7KFJsRn4+UHJvkZ8ZzbUxhVGpELJQfcBgvqQw4="/>
    </ext>
  </extLst>
</workbook>
</file>

<file path=xl/sharedStrings.xml><?xml version="1.0" encoding="utf-8"?>
<sst xmlns="http://schemas.openxmlformats.org/spreadsheetml/2006/main" count="200" uniqueCount="118">
  <si>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</si>
  <si>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</si>
  <si>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</si>
  <si>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</si>
  <si>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</si>
  <si>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</si>
  <si>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</si>
  <si>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</si>
  <si>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</si>
  <si>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</si>
  <si>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</si>
  <si>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</si>
  <si>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113-8736005-0966651</t>
  </si>
  <si>
    <t>wooden board</t>
  </si>
  <si>
    <t>66909dbe5da9b</t>
  </si>
  <si>
    <t>Inna Smith</t>
  </si>
  <si>
    <t>3121 MARNE DR NW</t>
  </si>
  <si>
    <t>ATLANTA</t>
  </si>
  <si>
    <t>30305-1931</t>
  </si>
  <si>
    <t>GA</t>
  </si>
  <si>
    <t>US</t>
  </si>
  <si>
    <t>113-0087986-4407420</t>
  </si>
  <si>
    <t>Mark Magelssen</t>
  </si>
  <si>
    <t>8970 WESTHILL PT</t>
  </si>
  <si>
    <t>EDEN PRAIRIE</t>
  </si>
  <si>
    <t>55347-5324</t>
  </si>
  <si>
    <t>MN</t>
  </si>
  <si>
    <t>111-0890424-9482659</t>
  </si>
  <si>
    <t>Lisa Charvet</t>
  </si>
  <si>
    <t>6461 AVENUE A</t>
  </si>
  <si>
    <t>NEW ORLEANS</t>
  </si>
  <si>
    <t>70124-2144</t>
  </si>
  <si>
    <t>LA</t>
  </si>
  <si>
    <t>112-0350529-6390601</t>
  </si>
  <si>
    <t>RENEE HINER</t>
  </si>
  <si>
    <t>1005 W 1ST AVE</t>
  </si>
  <si>
    <t>JUNCTION CITY</t>
  </si>
  <si>
    <t>97448-1013</t>
  </si>
  <si>
    <t>OR</t>
  </si>
  <si>
    <t>111-4103382-6895463</t>
  </si>
  <si>
    <t>Brittany Jahn</t>
  </si>
  <si>
    <t>114 KOVAR RD</t>
  </si>
  <si>
    <t>CLARKSBURG</t>
  </si>
  <si>
    <t>26301-6287</t>
  </si>
  <si>
    <t>WV</t>
  </si>
  <si>
    <t>114-0822875-6604251</t>
  </si>
  <si>
    <t>Kat Hauver</t>
  </si>
  <si>
    <t>150 HEMLOCK DR</t>
  </si>
  <si>
    <t>HOLLISTON</t>
  </si>
  <si>
    <t>01746-1506</t>
  </si>
  <si>
    <t>MA</t>
  </si>
  <si>
    <t>112-0158815-6820241</t>
  </si>
  <si>
    <t>Madeline O'Brien</t>
  </si>
  <si>
    <t>10108 DONEGAL CT</t>
  </si>
  <si>
    <t>POTOMAC</t>
  </si>
  <si>
    <t>20854-4340</t>
  </si>
  <si>
    <t>MD</t>
  </si>
  <si>
    <t>113-3284393-6265858</t>
  </si>
  <si>
    <t>Katelynn Sawyer</t>
  </si>
  <si>
    <t>216 ORCHARD DR</t>
  </si>
  <si>
    <t>BROADALBIN</t>
  </si>
  <si>
    <t>12025-2045</t>
  </si>
  <si>
    <t>NY</t>
  </si>
  <si>
    <t>113-1752472-5628269</t>
  </si>
  <si>
    <t>Clemmie Pierce Martin</t>
  </si>
  <si>
    <t>6254 OLYMPIA DR</t>
  </si>
  <si>
    <t>HOUSTON</t>
  </si>
  <si>
    <t>77057-3528</t>
  </si>
  <si>
    <t>TX</t>
  </si>
  <si>
    <t>112-6854278-9770633</t>
  </si>
  <si>
    <t>Tara Rau</t>
  </si>
  <si>
    <t>511 RIVERS END DR</t>
  </si>
  <si>
    <t>SAVANNAH</t>
  </si>
  <si>
    <t>31406-6023</t>
  </si>
  <si>
    <t>111-8154626-9819455</t>
  </si>
  <si>
    <t>Anna Wise</t>
  </si>
  <si>
    <t>940 RUMLEY RUN</t>
  </si>
  <si>
    <t>DEFOREST</t>
  </si>
  <si>
    <t>53532-0911</t>
  </si>
  <si>
    <t>WI</t>
  </si>
  <si>
    <t>111-4722493-7785047</t>
  </si>
  <si>
    <t>Jeannie Guerrero</t>
  </si>
  <si>
    <t>2500 LOUISVILLE AVE</t>
  </si>
  <si>
    <t>EL PASO</t>
  </si>
  <si>
    <t>79930-1626</t>
  </si>
  <si>
    <t>114-2041860-8952216</t>
  </si>
  <si>
    <t>Caroline Swiatocha</t>
  </si>
  <si>
    <t>2416 CAMERON MILLS RD</t>
  </si>
  <si>
    <t>ALEXANDRIA</t>
  </si>
  <si>
    <t>22302-3301</t>
  </si>
  <si>
    <t>VA</t>
  </si>
  <si>
    <t>112-4940747-7381837</t>
  </si>
  <si>
    <t>Cort</t>
  </si>
  <si>
    <t>3847 NEVILLE DR</t>
  </si>
  <si>
    <t>KENT</t>
  </si>
  <si>
    <t>44240-6657</t>
  </si>
  <si>
    <t>OH</t>
  </si>
  <si>
    <t>114-0778300-3821840</t>
  </si>
  <si>
    <t>Jessica LeMaster</t>
  </si>
  <si>
    <t>2914 E VIRGINIA AVE APT 42</t>
  </si>
  <si>
    <t>COVINA 91791</t>
  </si>
  <si>
    <t>WEST COVINA</t>
  </si>
  <si>
    <t>91791-2162</t>
  </si>
  <si>
    <t>CA</t>
  </si>
  <si>
    <t>112-9202782-0503463</t>
  </si>
  <si>
    <t>Betty Angel</t>
  </si>
  <si>
    <t>800 NEW WATERFORD DR A102</t>
  </si>
  <si>
    <t>NAPLES</t>
  </si>
  <si>
    <t>34104-7891</t>
  </si>
  <si>
    <t>FL</t>
  </si>
  <si>
    <t>TK18335</t>
  </si>
  <si>
    <t>Jennifer Monaco</t>
  </si>
  <si>
    <t>3164 Madera Ave</t>
  </si>
  <si>
    <t>Oakland</t>
  </si>
  <si>
    <t>TK18336</t>
  </si>
  <si>
    <t>Joanne Kelly</t>
  </si>
  <si>
    <t>319 Peachtree Avenue NE</t>
  </si>
  <si>
    <t>Atlanta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</si>
</sst>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3" numFmtId="0" xfId="0" applyFont="1"/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>
        <v>4.0488592E7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L3" s="10">
        <f>+13202678576</f>
        <v>13202678576</v>
      </c>
      <c r="M3" s="11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H4" s="5" t="s">
        <v>30</v>
      </c>
      <c r="I4" s="5" t="s">
        <v>31</v>
      </c>
      <c r="J4" s="5" t="s">
        <v>32</v>
      </c>
      <c r="K4" s="5" t="s">
        <v>20</v>
      </c>
      <c r="L4" s="10">
        <f t="shared" ref="L4:L5" si="1">+18087545332</f>
        <v>18087545332</v>
      </c>
      <c r="M4" s="11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27</v>
      </c>
      <c r="B5" s="6" t="s">
        <v>13</v>
      </c>
      <c r="C5" s="6" t="s">
        <v>14</v>
      </c>
      <c r="D5" s="7">
        <v>1.0</v>
      </c>
      <c r="E5" s="5" t="s">
        <v>28</v>
      </c>
      <c r="F5" s="5" t="s">
        <v>29</v>
      </c>
      <c r="H5" s="5" t="s">
        <v>30</v>
      </c>
      <c r="I5" s="5" t="s">
        <v>31</v>
      </c>
      <c r="J5" s="5" t="s">
        <v>32</v>
      </c>
      <c r="K5" s="5" t="s">
        <v>20</v>
      </c>
      <c r="L5" s="10">
        <f t="shared" si="1"/>
        <v>18087545332</v>
      </c>
      <c r="M5" s="11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33</v>
      </c>
      <c r="B6" s="6" t="s">
        <v>13</v>
      </c>
      <c r="C6" s="6" t="s">
        <v>14</v>
      </c>
      <c r="D6" s="7">
        <v>1.0</v>
      </c>
      <c r="E6" s="5" t="s">
        <v>34</v>
      </c>
      <c r="F6" s="5" t="s">
        <v>35</v>
      </c>
      <c r="H6" s="5" t="s">
        <v>36</v>
      </c>
      <c r="I6" s="5" t="s">
        <v>37</v>
      </c>
      <c r="J6" s="5" t="s">
        <v>38</v>
      </c>
      <c r="K6" s="5" t="s">
        <v>20</v>
      </c>
      <c r="L6" s="5">
        <v>5.41606516E9</v>
      </c>
      <c r="M6" s="11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39</v>
      </c>
      <c r="B7" s="6" t="s">
        <v>13</v>
      </c>
      <c r="C7" s="6" t="s">
        <v>14</v>
      </c>
      <c r="D7" s="7">
        <v>1.0</v>
      </c>
      <c r="E7" s="5" t="s">
        <v>40</v>
      </c>
      <c r="F7" s="5" t="s">
        <v>41</v>
      </c>
      <c r="H7" s="5" t="s">
        <v>42</v>
      </c>
      <c r="I7" s="5" t="s">
        <v>43</v>
      </c>
      <c r="J7" s="5" t="s">
        <v>44</v>
      </c>
      <c r="K7" s="5" t="s">
        <v>20</v>
      </c>
      <c r="L7" s="5">
        <v>3.046940537E9</v>
      </c>
      <c r="M7" s="11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45</v>
      </c>
      <c r="B8" s="6" t="s">
        <v>13</v>
      </c>
      <c r="C8" s="6" t="s">
        <v>14</v>
      </c>
      <c r="D8" s="7">
        <v>1.0</v>
      </c>
      <c r="E8" s="5" t="s">
        <v>46</v>
      </c>
      <c r="F8" s="5" t="s">
        <v>47</v>
      </c>
      <c r="H8" s="5" t="s">
        <v>48</v>
      </c>
      <c r="I8" s="5" t="s">
        <v>49</v>
      </c>
      <c r="J8" s="5" t="s">
        <v>50</v>
      </c>
      <c r="K8" s="5" t="s">
        <v>20</v>
      </c>
      <c r="L8" s="5">
        <v>7.023406603E9</v>
      </c>
      <c r="M8" s="11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 t="s">
        <v>51</v>
      </c>
      <c r="B9" s="6" t="s">
        <v>13</v>
      </c>
      <c r="C9" s="6" t="s">
        <v>14</v>
      </c>
      <c r="D9" s="7">
        <v>1.0</v>
      </c>
      <c r="E9" s="5" t="s">
        <v>52</v>
      </c>
      <c r="F9" s="5" t="s">
        <v>53</v>
      </c>
      <c r="H9" s="5" t="s">
        <v>54</v>
      </c>
      <c r="I9" s="5" t="s">
        <v>55</v>
      </c>
      <c r="J9" s="5" t="s">
        <v>56</v>
      </c>
      <c r="K9" s="5" t="s">
        <v>20</v>
      </c>
      <c r="L9" s="12">
        <f t="shared" ref="L9:L10" si="2">+13016416949</f>
        <v>13016416949</v>
      </c>
      <c r="M9" s="11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 t="s">
        <v>51</v>
      </c>
      <c r="B10" s="6" t="s">
        <v>13</v>
      </c>
      <c r="C10" s="6" t="s">
        <v>14</v>
      </c>
      <c r="D10" s="7">
        <v>1.0</v>
      </c>
      <c r="E10" s="5" t="s">
        <v>52</v>
      </c>
      <c r="F10" s="5" t="s">
        <v>53</v>
      </c>
      <c r="H10" s="5" t="s">
        <v>54</v>
      </c>
      <c r="I10" s="5" t="s">
        <v>55</v>
      </c>
      <c r="J10" s="5" t="s">
        <v>56</v>
      </c>
      <c r="K10" s="5" t="s">
        <v>20</v>
      </c>
      <c r="L10" s="12">
        <f t="shared" si="2"/>
        <v>13016416949</v>
      </c>
      <c r="M10" s="11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 t="s">
        <v>57</v>
      </c>
      <c r="B11" s="6" t="s">
        <v>13</v>
      </c>
      <c r="C11" s="6" t="s">
        <v>14</v>
      </c>
      <c r="D11" s="7">
        <v>1.0</v>
      </c>
      <c r="E11" s="5" t="s">
        <v>58</v>
      </c>
      <c r="F11" s="5" t="s">
        <v>59</v>
      </c>
      <c r="H11" s="5" t="s">
        <v>60</v>
      </c>
      <c r="I11" s="5" t="s">
        <v>61</v>
      </c>
      <c r="J11" s="5" t="s">
        <v>62</v>
      </c>
      <c r="K11" s="5" t="s">
        <v>20</v>
      </c>
      <c r="L11" s="5">
        <v>1.5182560043E10</v>
      </c>
      <c r="M11" s="11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 t="s">
        <v>63</v>
      </c>
      <c r="B12" s="6" t="s">
        <v>13</v>
      </c>
      <c r="C12" s="6" t="s">
        <v>14</v>
      </c>
      <c r="D12" s="7">
        <v>1.0</v>
      </c>
      <c r="E12" s="5" t="s">
        <v>64</v>
      </c>
      <c r="F12" s="5" t="s">
        <v>65</v>
      </c>
      <c r="H12" s="5" t="s">
        <v>66</v>
      </c>
      <c r="I12" s="5" t="s">
        <v>67</v>
      </c>
      <c r="J12" s="5" t="s">
        <v>68</v>
      </c>
      <c r="K12" s="5" t="s">
        <v>20</v>
      </c>
      <c r="L12" s="5">
        <v>8.322820042E9</v>
      </c>
      <c r="M12" s="1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 t="s">
        <v>69</v>
      </c>
      <c r="B13" s="6" t="s">
        <v>13</v>
      </c>
      <c r="C13" s="6" t="s">
        <v>14</v>
      </c>
      <c r="D13" s="7">
        <v>1.0</v>
      </c>
      <c r="E13" s="5" t="s">
        <v>70</v>
      </c>
      <c r="F13" s="5" t="s">
        <v>71</v>
      </c>
      <c r="H13" s="5" t="s">
        <v>72</v>
      </c>
      <c r="I13" s="5" t="s">
        <v>73</v>
      </c>
      <c r="J13" s="5" t="s">
        <v>19</v>
      </c>
      <c r="K13" s="5" t="s">
        <v>20</v>
      </c>
      <c r="L13" s="12">
        <f>+17862715416</f>
        <v>17862715416</v>
      </c>
      <c r="M13" s="11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 t="s">
        <v>74</v>
      </c>
      <c r="B14" s="6" t="s">
        <v>13</v>
      </c>
      <c r="C14" s="6" t="s">
        <v>14</v>
      </c>
      <c r="D14" s="7">
        <v>1.0</v>
      </c>
      <c r="E14" s="5" t="s">
        <v>75</v>
      </c>
      <c r="F14" s="5" t="s">
        <v>76</v>
      </c>
      <c r="H14" s="5" t="s">
        <v>77</v>
      </c>
      <c r="I14" s="5" t="s">
        <v>78</v>
      </c>
      <c r="J14" s="5" t="s">
        <v>79</v>
      </c>
      <c r="K14" s="5" t="s">
        <v>20</v>
      </c>
      <c r="L14" s="10">
        <f>+12536915167</f>
        <v>12536915167</v>
      </c>
      <c r="M14" s="11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 t="s">
        <v>80</v>
      </c>
      <c r="B15" s="6" t="s">
        <v>13</v>
      </c>
      <c r="C15" s="6" t="s">
        <v>14</v>
      </c>
      <c r="D15" s="7">
        <v>1.0</v>
      </c>
      <c r="E15" s="5" t="s">
        <v>81</v>
      </c>
      <c r="F15" s="5" t="s">
        <v>82</v>
      </c>
      <c r="H15" s="5" t="s">
        <v>83</v>
      </c>
      <c r="I15" s="5" t="s">
        <v>84</v>
      </c>
      <c r="J15" s="5" t="s">
        <v>68</v>
      </c>
      <c r="K15" s="5" t="s">
        <v>20</v>
      </c>
      <c r="L15" s="5">
        <v>9.152281187E9</v>
      </c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 t="s">
        <v>85</v>
      </c>
      <c r="B16" s="6" t="s">
        <v>13</v>
      </c>
      <c r="C16" s="6" t="s">
        <v>14</v>
      </c>
      <c r="D16" s="7">
        <v>1.0</v>
      </c>
      <c r="E16" s="5" t="s">
        <v>86</v>
      </c>
      <c r="F16" s="5" t="s">
        <v>87</v>
      </c>
      <c r="H16" s="5" t="s">
        <v>88</v>
      </c>
      <c r="I16" s="5" t="s">
        <v>89</v>
      </c>
      <c r="J16" s="5" t="s">
        <v>90</v>
      </c>
      <c r="K16" s="5" t="s">
        <v>20</v>
      </c>
      <c r="L16" s="5">
        <v>2.032469592E9</v>
      </c>
      <c r="M16" s="11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" t="s">
        <v>85</v>
      </c>
      <c r="B17" s="6" t="s">
        <v>13</v>
      </c>
      <c r="C17" s="6" t="s">
        <v>14</v>
      </c>
      <c r="D17" s="7">
        <v>1.0</v>
      </c>
      <c r="E17" s="5" t="s">
        <v>86</v>
      </c>
      <c r="F17" s="5" t="s">
        <v>87</v>
      </c>
      <c r="H17" s="5" t="s">
        <v>88</v>
      </c>
      <c r="I17" s="5" t="s">
        <v>89</v>
      </c>
      <c r="J17" s="5" t="s">
        <v>90</v>
      </c>
      <c r="K17" s="5" t="s">
        <v>20</v>
      </c>
      <c r="L17" s="5">
        <v>2.032469592E9</v>
      </c>
      <c r="M17" s="11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" t="s">
        <v>91</v>
      </c>
      <c r="B18" s="6" t="s">
        <v>13</v>
      </c>
      <c r="C18" s="6" t="s">
        <v>14</v>
      </c>
      <c r="D18" s="7">
        <v>1.0</v>
      </c>
      <c r="E18" s="5" t="s">
        <v>92</v>
      </c>
      <c r="F18" s="5" t="s">
        <v>93</v>
      </c>
      <c r="H18" s="5" t="s">
        <v>94</v>
      </c>
      <c r="I18" s="5" t="s">
        <v>95</v>
      </c>
      <c r="J18" s="5" t="s">
        <v>96</v>
      </c>
      <c r="K18" s="5" t="s">
        <v>20</v>
      </c>
      <c r="L18" s="13">
        <f>+13302354228</f>
        <v>13302354228</v>
      </c>
      <c r="M18" s="11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5" t="s">
        <v>97</v>
      </c>
      <c r="B19" s="6" t="s">
        <v>13</v>
      </c>
      <c r="C19" s="6" t="s">
        <v>14</v>
      </c>
      <c r="D19" s="7">
        <v>1.0</v>
      </c>
      <c r="E19" s="5" t="s">
        <v>98</v>
      </c>
      <c r="F19" s="5" t="s">
        <v>99</v>
      </c>
      <c r="G19" s="5" t="s">
        <v>100</v>
      </c>
      <c r="H19" s="5" t="s">
        <v>101</v>
      </c>
      <c r="I19" s="5" t="s">
        <v>102</v>
      </c>
      <c r="J19" s="5" t="s">
        <v>103</v>
      </c>
      <c r="K19" s="5" t="s">
        <v>20</v>
      </c>
      <c r="L19" s="13">
        <f>+19097282291</f>
        <v>19097282291</v>
      </c>
      <c r="M19" s="1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5" t="s">
        <v>104</v>
      </c>
      <c r="B20" s="6" t="s">
        <v>13</v>
      </c>
      <c r="C20" s="6" t="s">
        <v>14</v>
      </c>
      <c r="D20" s="7">
        <v>1.0</v>
      </c>
      <c r="E20" s="5" t="s">
        <v>105</v>
      </c>
      <c r="F20" s="5" t="s">
        <v>106</v>
      </c>
      <c r="H20" s="5" t="s">
        <v>107</v>
      </c>
      <c r="I20" s="5" t="s">
        <v>108</v>
      </c>
      <c r="J20" s="5" t="s">
        <v>109</v>
      </c>
      <c r="K20" s="5" t="s">
        <v>20</v>
      </c>
      <c r="L20" s="5">
        <v>7.863321292E9</v>
      </c>
      <c r="M20" s="1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5" t="s">
        <v>110</v>
      </c>
      <c r="B21" s="6" t="s">
        <v>13</v>
      </c>
      <c r="C21" s="6" t="s">
        <v>14</v>
      </c>
      <c r="D21" s="7">
        <v>1.0</v>
      </c>
      <c r="E21" s="5" t="s">
        <v>111</v>
      </c>
      <c r="F21" s="5" t="s">
        <v>112</v>
      </c>
      <c r="H21" s="5" t="s">
        <v>113</v>
      </c>
      <c r="I21" s="5">
        <v>94619.0</v>
      </c>
      <c r="J21" s="5" t="s">
        <v>103</v>
      </c>
      <c r="K21" s="5" t="s">
        <v>20</v>
      </c>
      <c r="L21" s="13"/>
      <c r="M21" s="1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5" t="s">
        <v>114</v>
      </c>
      <c r="B22" s="6" t="s">
        <v>13</v>
      </c>
      <c r="C22" s="6" t="s">
        <v>14</v>
      </c>
      <c r="D22" s="7">
        <v>1.0</v>
      </c>
      <c r="E22" s="5" t="s">
        <v>115</v>
      </c>
      <c r="F22" s="5" t="s">
        <v>116</v>
      </c>
      <c r="H22" s="5" t="s">
        <v>117</v>
      </c>
      <c r="I22" s="5">
        <v>30305.0</v>
      </c>
      <c r="J22" s="5" t="s">
        <v>19</v>
      </c>
      <c r="K22" s="5" t="s">
        <v>20</v>
      </c>
      <c r="L22" s="5">
        <v>1.4244208876E10</v>
      </c>
      <c r="M22" s="1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1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1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1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1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1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1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1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1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1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1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1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1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1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1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1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1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1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1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1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1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1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1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1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1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1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1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1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1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1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1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1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1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1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1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1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1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1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1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1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1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1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1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1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1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1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1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1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1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1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1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1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1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1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1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1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1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1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1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1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1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1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1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1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1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1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1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1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1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1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1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1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1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1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1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1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1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1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1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1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1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1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1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1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1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1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1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1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1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1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1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1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1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1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1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1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1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1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1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1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1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1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1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1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1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1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1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1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1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1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1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1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1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1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1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1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1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1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1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1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1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1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1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1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1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1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1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1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1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1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1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1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1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1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1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1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1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1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1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1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1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1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1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1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1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1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1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1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1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1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1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1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1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1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1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1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1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1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1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1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1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1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1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1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1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1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1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1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1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1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1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1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1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1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1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1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1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1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1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1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1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1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1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1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1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1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1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1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1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1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1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1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1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1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1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1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1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1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1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1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1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1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1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1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1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1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1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1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1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1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1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1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1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1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1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1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1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1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1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1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1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1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1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1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1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1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1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1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1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1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1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1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1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1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1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1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1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1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1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1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1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1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1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1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1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1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1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1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1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1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1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1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1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1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1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1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1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1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1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1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1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1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1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1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1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1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1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1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1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1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1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1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1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1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1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1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1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1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1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1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1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1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1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1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1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1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1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1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1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1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1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1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1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1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1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1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1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1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1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1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1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1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1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1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1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1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1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1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34.5" customHeight="1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34.5" customHeight="1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34.5" customHeight="1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34.5" customHeight="1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34.5" customHeight="1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34.5" customHeight="1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34.5" customHeight="1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34.5" customHeight="1">
      <c r="A535" s="14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34.5" customHeight="1">
      <c r="A536" s="14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34.5" customHeight="1">
      <c r="A537" s="14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34.5" customHeight="1">
      <c r="A538" s="14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34.5" customHeight="1">
      <c r="A539" s="14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34.5" customHeight="1">
      <c r="A540" s="14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34.5" customHeight="1">
      <c r="A541" s="14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34.5" customHeight="1">
      <c r="A542" s="14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34.5" customHeight="1">
      <c r="A543" s="14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34.5" customHeight="1">
      <c r="A544" s="14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34.5" customHeight="1">
      <c r="A545" s="14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34.5" customHeight="1">
      <c r="A546" s="14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34.5" customHeight="1">
      <c r="A547" s="14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34.5" customHeight="1">
      <c r="A548" s="14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34.5" customHeight="1">
      <c r="A549" s="14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34.5" customHeight="1">
      <c r="A550" s="14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34.5" customHeight="1">
      <c r="A551" s="14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34.5" customHeight="1">
      <c r="A552" s="14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34.5" customHeight="1">
      <c r="A553" s="14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34.5" customHeight="1">
      <c r="A554" s="14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34.5" customHeight="1">
      <c r="A555" s="14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</sheetData>
  <autoFilter ref="$A$1:$L$22">
    <sortState ref="A1:L22">
      <sortCondition ref="E1:E2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