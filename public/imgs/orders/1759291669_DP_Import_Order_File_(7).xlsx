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Sheet1!$A$1:$L$26</definedName>
  </definedNames>
  <calcPr/>
  <extLst>
    <ext uri="GoogleSheetsCustomDataVersion2">
      <go:sheetsCustomData xmlns:go="http://customooxmlschemas.google.com/" r:id="rId5" roundtripDataChecksum="83RWV6cGTEqzV1P09zKaMZ8N5RhkPCkGMPf7E4qygLE="/>
    </ext>
  </extLst>
</workbook>
</file>

<file path=xl/sharedStrings.xml><?xml version="1.0" encoding="utf-8"?>
<sst xmlns="http://schemas.openxmlformats.org/spreadsheetml/2006/main" count="160" uniqueCount="105">
  <si>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</si>
  <si>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</si>
  <si>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</si>
  <si>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</si>
  <si>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</si>
  <si>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</si>
  <si>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</si>
  <si>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</si>
  <si>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</si>
  <si>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</si>
  <si>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</si>
  <si>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</si>
  <si>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114-0076091-6715429</t>
  </si>
  <si>
    <t>wooden board</t>
  </si>
  <si>
    <t>66909dbe5da9b</t>
  </si>
  <si>
    <t>Jaci McCarty</t>
  </si>
  <si>
    <t>911 S 2ND ST</t>
  </si>
  <si>
    <t>LAMAR</t>
  </si>
  <si>
    <t>81052-3409</t>
  </si>
  <si>
    <t>CO</t>
  </si>
  <si>
    <t>US</t>
  </si>
  <si>
    <t>111-8154945-4897832</t>
  </si>
  <si>
    <t>Ann Hart-Kirkman</t>
  </si>
  <si>
    <t>5120 ALSTON GLEN DR APT 359</t>
  </si>
  <si>
    <t>CARY</t>
  </si>
  <si>
    <t>27519-7658</t>
  </si>
  <si>
    <t>NC</t>
  </si>
  <si>
    <t>111-9187859-2440224</t>
  </si>
  <si>
    <t>Lynne A. Hamilton-Johnson</t>
  </si>
  <si>
    <t>72 INGLESID LN</t>
  </si>
  <si>
    <t>LIVERPOOL</t>
  </si>
  <si>
    <t>13090-3700</t>
  </si>
  <si>
    <t>NY</t>
  </si>
  <si>
    <t>114-1208531-6393012</t>
  </si>
  <si>
    <t>Konrad Marchewka</t>
  </si>
  <si>
    <t>763 LEONARD ST</t>
  </si>
  <si>
    <t>BROOKLYN</t>
  </si>
  <si>
    <t>11222-2350</t>
  </si>
  <si>
    <t>113-2894265-3392203</t>
  </si>
  <si>
    <t>Jordan Kohut</t>
  </si>
  <si>
    <t>142 OAKTON ST</t>
  </si>
  <si>
    <t>MCHENRY</t>
  </si>
  <si>
    <t>60050-0518</t>
  </si>
  <si>
    <t>IL</t>
  </si>
  <si>
    <t>113-5887080-6937046</t>
  </si>
  <si>
    <t>IRENE BECERRA PEREZ</t>
  </si>
  <si>
    <t>4012 SOUTHERN VISTA LOOP</t>
  </si>
  <si>
    <t>SAINT CLOUD</t>
  </si>
  <si>
    <t>34772-6874</t>
  </si>
  <si>
    <t>FL</t>
  </si>
  <si>
    <t>111-8116183-4796233</t>
  </si>
  <si>
    <t>Tony Swinson</t>
  </si>
  <si>
    <t>13034 SOARING FOREST DR</t>
  </si>
  <si>
    <t>CONROE</t>
  </si>
  <si>
    <t>77302-1461</t>
  </si>
  <si>
    <t>TX</t>
  </si>
  <si>
    <t>112-9473560-9001849</t>
  </si>
  <si>
    <t>Lan</t>
  </si>
  <si>
    <t>933 VENEZIA AVE</t>
  </si>
  <si>
    <t>VENICE</t>
  </si>
  <si>
    <t>90291-3929</t>
  </si>
  <si>
    <t>CA</t>
  </si>
  <si>
    <t>113-0196482-7865874</t>
  </si>
  <si>
    <t>M J Moore</t>
  </si>
  <si>
    <t>205 BELLA CIMA DR</t>
  </si>
  <si>
    <t>AUSTIN</t>
  </si>
  <si>
    <t>78734-2656</t>
  </si>
  <si>
    <t>(512)785-0203</t>
  </si>
  <si>
    <t>114-2725648-2965800-re</t>
  </si>
  <si>
    <t>Ayleen Gonzalez</t>
  </si>
  <si>
    <t>7519 N THATCHER AVE</t>
  </si>
  <si>
    <t>TAMPA</t>
  </si>
  <si>
    <t>33614-3126</t>
  </si>
  <si>
    <t>111-7325946-8053812</t>
  </si>
  <si>
    <t>Damaris Kenworthy</t>
  </si>
  <si>
    <t>15015 NE 5TH ST</t>
  </si>
  <si>
    <t>VANCOUVER</t>
  </si>
  <si>
    <t>98684-8105</t>
  </si>
  <si>
    <t>WA</t>
  </si>
  <si>
    <t>113-5494292-6469067</t>
  </si>
  <si>
    <t>Mylisha Lynch</t>
  </si>
  <si>
    <t>4195 Adrianne Way</t>
  </si>
  <si>
    <t>Randallstown</t>
  </si>
  <si>
    <t>MD</t>
  </si>
  <si>
    <t>TK18217</t>
  </si>
  <si>
    <t>Kiki Katz</t>
  </si>
  <si>
    <t>1302 Forest Ave</t>
  </si>
  <si>
    <t>Highland Park</t>
  </si>
  <si>
    <t>TK18218</t>
  </si>
  <si>
    <t>Tina Pachl</t>
  </si>
  <si>
    <t>1343 Maplewood Drive</t>
  </si>
  <si>
    <t>Lewisville</t>
  </si>
  <si>
    <t>TK18219</t>
  </si>
  <si>
    <t>Laura Martin</t>
  </si>
  <si>
    <t>3462 Feldspar Circle</t>
  </si>
  <si>
    <t>Vestavia</t>
  </si>
  <si>
    <t>AL</t>
  </si>
  <si>
    <t>TK18220</t>
  </si>
  <si>
    <t>Karen Ryan</t>
  </si>
  <si>
    <t>11 Aspen Rd</t>
  </si>
  <si>
    <t>Hopewell Junction</t>
  </si>
  <si>
    <t>TK18224</t>
  </si>
  <si>
    <t>nadia rahman</t>
  </si>
  <si>
    <t>68 Belden Ave</t>
  </si>
  <si>
    <t>Dobbs Ferry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</si>
</sst>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4" fillId="3" fontId="4" numFmtId="0" xfId="0" applyAlignment="1" applyBorder="1" applyFill="1" applyFont="1">
      <alignment horizontal="left"/>
    </xf>
    <xf borderId="0" fillId="0" fontId="2" numFmtId="0" xfId="0" applyFont="1"/>
    <xf borderId="5" fillId="3" fontId="4" numFmtId="0" xfId="0" applyAlignment="1" applyBorder="1" applyFont="1">
      <alignment horizontal="left"/>
    </xf>
    <xf borderId="0" fillId="0" fontId="2" numFmtId="0" xfId="0" applyFont="1"/>
    <xf borderId="6" fillId="3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.5" customHeight="1">
      <c r="A2" s="4" t="s">
        <v>12</v>
      </c>
      <c r="B2" s="5" t="s">
        <v>13</v>
      </c>
      <c r="C2" s="5" t="s">
        <v>14</v>
      </c>
      <c r="D2" s="6">
        <v>1.0</v>
      </c>
      <c r="E2" s="4" t="s">
        <v>15</v>
      </c>
      <c r="F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>
        <v>7.193532626E9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4.5" customHeight="1">
      <c r="A3" s="4" t="s">
        <v>21</v>
      </c>
      <c r="B3" s="5" t="s">
        <v>13</v>
      </c>
      <c r="C3" s="5" t="s">
        <v>14</v>
      </c>
      <c r="D3" s="6">
        <v>1.0</v>
      </c>
      <c r="E3" s="4" t="s">
        <v>22</v>
      </c>
      <c r="F3" s="4" t="s">
        <v>23</v>
      </c>
      <c r="H3" s="4" t="s">
        <v>24</v>
      </c>
      <c r="I3" s="4" t="s">
        <v>25</v>
      </c>
      <c r="J3" s="4" t="s">
        <v>26</v>
      </c>
      <c r="K3" s="4" t="s">
        <v>20</v>
      </c>
      <c r="L3" s="4">
        <v>3.478130389E9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4.5" customHeight="1">
      <c r="A4" s="4" t="s">
        <v>27</v>
      </c>
      <c r="B4" s="5" t="s">
        <v>13</v>
      </c>
      <c r="C4" s="5" t="s">
        <v>14</v>
      </c>
      <c r="D4" s="6">
        <v>1.0</v>
      </c>
      <c r="E4" s="4" t="s">
        <v>28</v>
      </c>
      <c r="F4" s="4" t="s">
        <v>29</v>
      </c>
      <c r="H4" s="4" t="s">
        <v>30</v>
      </c>
      <c r="I4" s="4" t="s">
        <v>31</v>
      </c>
      <c r="J4" s="4" t="s">
        <v>32</v>
      </c>
      <c r="K4" s="4" t="s">
        <v>20</v>
      </c>
      <c r="L4" s="8">
        <f>+13157200187</f>
        <v>13157200187</v>
      </c>
      <c r="M4" s="9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4.5" customHeight="1">
      <c r="A5" s="4" t="s">
        <v>33</v>
      </c>
      <c r="B5" s="5" t="s">
        <v>13</v>
      </c>
      <c r="C5" s="5" t="s">
        <v>14</v>
      </c>
      <c r="D5" s="6">
        <v>1.0</v>
      </c>
      <c r="E5" s="4" t="s">
        <v>34</v>
      </c>
      <c r="F5" s="4" t="s">
        <v>35</v>
      </c>
      <c r="H5" s="4" t="s">
        <v>36</v>
      </c>
      <c r="I5" s="4" t="s">
        <v>37</v>
      </c>
      <c r="J5" s="4" t="s">
        <v>32</v>
      </c>
      <c r="K5" s="4" t="s">
        <v>20</v>
      </c>
      <c r="L5" s="4">
        <v>3.473596938E9</v>
      </c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4.5" customHeight="1">
      <c r="A6" s="4" t="s">
        <v>38</v>
      </c>
      <c r="B6" s="5" t="s">
        <v>13</v>
      </c>
      <c r="C6" s="5" t="s">
        <v>14</v>
      </c>
      <c r="D6" s="6">
        <v>1.0</v>
      </c>
      <c r="E6" s="4" t="s">
        <v>39</v>
      </c>
      <c r="F6" s="4" t="s">
        <v>40</v>
      </c>
      <c r="H6" s="4" t="s">
        <v>41</v>
      </c>
      <c r="I6" s="4" t="s">
        <v>42</v>
      </c>
      <c r="J6" s="4" t="s">
        <v>43</v>
      </c>
      <c r="K6" s="4" t="s">
        <v>20</v>
      </c>
      <c r="L6" s="4">
        <v>8.15861015E9</v>
      </c>
      <c r="M6" s="9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4.5" customHeight="1">
      <c r="A7" s="4" t="s">
        <v>44</v>
      </c>
      <c r="B7" s="5" t="s">
        <v>13</v>
      </c>
      <c r="C7" s="5" t="s">
        <v>14</v>
      </c>
      <c r="D7" s="6">
        <v>1.0</v>
      </c>
      <c r="E7" s="4" t="s">
        <v>45</v>
      </c>
      <c r="F7" s="4" t="s">
        <v>46</v>
      </c>
      <c r="H7" s="4" t="s">
        <v>47</v>
      </c>
      <c r="I7" s="4" t="s">
        <v>48</v>
      </c>
      <c r="J7" s="4" t="s">
        <v>49</v>
      </c>
      <c r="K7" s="4" t="s">
        <v>20</v>
      </c>
      <c r="L7" s="4">
        <v>7.866206386E9</v>
      </c>
      <c r="M7" s="9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4.5" customHeight="1">
      <c r="A8" s="4" t="s">
        <v>50</v>
      </c>
      <c r="B8" s="5" t="s">
        <v>13</v>
      </c>
      <c r="C8" s="5" t="s">
        <v>14</v>
      </c>
      <c r="D8" s="6">
        <v>1.0</v>
      </c>
      <c r="E8" s="4" t="s">
        <v>51</v>
      </c>
      <c r="F8" s="4" t="s">
        <v>52</v>
      </c>
      <c r="H8" s="4" t="s">
        <v>53</v>
      </c>
      <c r="I8" s="4" t="s">
        <v>54</v>
      </c>
      <c r="J8" s="4" t="s">
        <v>55</v>
      </c>
      <c r="K8" s="4" t="s">
        <v>20</v>
      </c>
      <c r="L8" s="8">
        <f>+15127711918</f>
        <v>15127711918</v>
      </c>
      <c r="M8" s="9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4.5" customHeight="1">
      <c r="A9" s="4" t="s">
        <v>56</v>
      </c>
      <c r="B9" s="5" t="s">
        <v>13</v>
      </c>
      <c r="C9" s="5" t="s">
        <v>14</v>
      </c>
      <c r="D9" s="6">
        <v>1.0</v>
      </c>
      <c r="E9" s="4" t="s">
        <v>57</v>
      </c>
      <c r="F9" s="4" t="s">
        <v>58</v>
      </c>
      <c r="H9" s="4" t="s">
        <v>59</v>
      </c>
      <c r="I9" s="4" t="s">
        <v>60</v>
      </c>
      <c r="J9" s="4" t="s">
        <v>61</v>
      </c>
      <c r="K9" s="4" t="s">
        <v>20</v>
      </c>
      <c r="L9" s="4">
        <v>3.109032212E9</v>
      </c>
      <c r="M9" s="9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4.5" customHeight="1">
      <c r="A10" s="4" t="s">
        <v>62</v>
      </c>
      <c r="B10" s="5" t="s">
        <v>13</v>
      </c>
      <c r="C10" s="5" t="s">
        <v>14</v>
      </c>
      <c r="D10" s="6">
        <v>1.0</v>
      </c>
      <c r="E10" s="4" t="s">
        <v>63</v>
      </c>
      <c r="F10" s="4" t="s">
        <v>64</v>
      </c>
      <c r="H10" s="4" t="s">
        <v>65</v>
      </c>
      <c r="I10" s="4" t="s">
        <v>66</v>
      </c>
      <c r="J10" s="4" t="s">
        <v>55</v>
      </c>
      <c r="K10" s="4" t="s">
        <v>20</v>
      </c>
      <c r="L10" s="4" t="s">
        <v>67</v>
      </c>
      <c r="M10" s="9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4.5" customHeight="1">
      <c r="A11" s="4" t="s">
        <v>68</v>
      </c>
      <c r="B11" s="5" t="s">
        <v>13</v>
      </c>
      <c r="C11" s="5" t="s">
        <v>14</v>
      </c>
      <c r="D11" s="6">
        <v>1.0</v>
      </c>
      <c r="E11" s="4" t="s">
        <v>69</v>
      </c>
      <c r="F11" s="4" t="s">
        <v>70</v>
      </c>
      <c r="G11" s="10"/>
      <c r="H11" s="4" t="s">
        <v>71</v>
      </c>
      <c r="I11" s="4" t="s">
        <v>72</v>
      </c>
      <c r="J11" s="4" t="s">
        <v>49</v>
      </c>
      <c r="K11" s="4" t="s">
        <v>20</v>
      </c>
      <c r="L11" s="4">
        <v>7.279061814E9</v>
      </c>
      <c r="M11" s="9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4.5" customHeight="1">
      <c r="A12" s="4" t="s">
        <v>73</v>
      </c>
      <c r="B12" s="5" t="s">
        <v>13</v>
      </c>
      <c r="C12" s="5" t="s">
        <v>14</v>
      </c>
      <c r="D12" s="6">
        <v>1.0</v>
      </c>
      <c r="E12" s="4" t="s">
        <v>74</v>
      </c>
      <c r="F12" s="4" t="s">
        <v>75</v>
      </c>
      <c r="G12" s="10"/>
      <c r="H12" s="4" t="s">
        <v>76</v>
      </c>
      <c r="I12" s="4" t="s">
        <v>77</v>
      </c>
      <c r="J12" s="4" t="s">
        <v>78</v>
      </c>
      <c r="K12" s="4" t="s">
        <v>20</v>
      </c>
      <c r="L12" s="4">
        <v>7.143905323E9</v>
      </c>
      <c r="M12" s="9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4.5" customHeight="1">
      <c r="A13" s="4" t="s">
        <v>79</v>
      </c>
      <c r="B13" s="5" t="s">
        <v>13</v>
      </c>
      <c r="C13" s="5" t="s">
        <v>14</v>
      </c>
      <c r="D13" s="6">
        <v>1.0</v>
      </c>
      <c r="E13" s="4" t="s">
        <v>80</v>
      </c>
      <c r="F13" s="4" t="s">
        <v>81</v>
      </c>
      <c r="G13" s="10"/>
      <c r="H13" s="4" t="s">
        <v>82</v>
      </c>
      <c r="I13" s="4">
        <v>21133.0</v>
      </c>
      <c r="J13" s="4" t="s">
        <v>83</v>
      </c>
      <c r="K13" s="4" t="s">
        <v>20</v>
      </c>
      <c r="L13" s="4">
        <v>4.437507357E9</v>
      </c>
      <c r="M13" s="9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4.5" customHeight="1">
      <c r="A14" s="4" t="s">
        <v>84</v>
      </c>
      <c r="B14" s="5" t="s">
        <v>13</v>
      </c>
      <c r="C14" s="5" t="s">
        <v>14</v>
      </c>
      <c r="D14" s="6">
        <v>1.0</v>
      </c>
      <c r="E14" s="4" t="s">
        <v>85</v>
      </c>
      <c r="F14" s="4" t="s">
        <v>86</v>
      </c>
      <c r="G14" s="10"/>
      <c r="H14" s="4" t="s">
        <v>87</v>
      </c>
      <c r="I14" s="4">
        <v>60035.0</v>
      </c>
      <c r="J14" s="4" t="s">
        <v>43</v>
      </c>
      <c r="K14" s="4" t="s">
        <v>20</v>
      </c>
      <c r="L14" s="4">
        <v>8.477727686E9</v>
      </c>
      <c r="M14" s="9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4.5" customHeight="1">
      <c r="A15" s="4" t="s">
        <v>88</v>
      </c>
      <c r="B15" s="5" t="s">
        <v>13</v>
      </c>
      <c r="C15" s="5" t="s">
        <v>14</v>
      </c>
      <c r="D15" s="6">
        <v>1.0</v>
      </c>
      <c r="E15" s="4" t="s">
        <v>89</v>
      </c>
      <c r="F15" s="4" t="s">
        <v>90</v>
      </c>
      <c r="G15" s="10"/>
      <c r="H15" s="4" t="s">
        <v>91</v>
      </c>
      <c r="I15" s="4">
        <v>75067.0</v>
      </c>
      <c r="J15" s="4" t="s">
        <v>55</v>
      </c>
      <c r="K15" s="4" t="s">
        <v>20</v>
      </c>
      <c r="L15" s="4">
        <v>4.05385192E9</v>
      </c>
      <c r="M15" s="9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A16" s="4" t="s">
        <v>92</v>
      </c>
      <c r="B16" s="5" t="s">
        <v>13</v>
      </c>
      <c r="C16" s="5" t="s">
        <v>14</v>
      </c>
      <c r="D16" s="6">
        <v>1.0</v>
      </c>
      <c r="E16" s="4" t="s">
        <v>93</v>
      </c>
      <c r="F16" s="4" t="s">
        <v>94</v>
      </c>
      <c r="G16" s="10"/>
      <c r="H16" s="4" t="s">
        <v>95</v>
      </c>
      <c r="I16" s="4">
        <v>35242.0</v>
      </c>
      <c r="J16" s="4" t="s">
        <v>96</v>
      </c>
      <c r="K16" s="4" t="s">
        <v>20</v>
      </c>
      <c r="L16" s="4">
        <v>1.6154982426E10</v>
      </c>
      <c r="M16" s="9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4.5" customHeight="1">
      <c r="A17" s="4" t="s">
        <v>97</v>
      </c>
      <c r="B17" s="5" t="s">
        <v>13</v>
      </c>
      <c r="C17" s="5" t="s">
        <v>14</v>
      </c>
      <c r="D17" s="6">
        <v>1.0</v>
      </c>
      <c r="E17" s="4" t="s">
        <v>98</v>
      </c>
      <c r="F17" s="4" t="s">
        <v>99</v>
      </c>
      <c r="G17" s="10"/>
      <c r="H17" s="4" t="s">
        <v>100</v>
      </c>
      <c r="I17" s="4">
        <v>12533.0</v>
      </c>
      <c r="J17" s="4" t="s">
        <v>32</v>
      </c>
      <c r="K17" s="4" t="s">
        <v>20</v>
      </c>
      <c r="M17" s="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4.5" customHeight="1">
      <c r="A18" s="4" t="s">
        <v>101</v>
      </c>
      <c r="B18" s="5" t="s">
        <v>13</v>
      </c>
      <c r="C18" s="5" t="s">
        <v>14</v>
      </c>
      <c r="D18" s="6">
        <v>1.0</v>
      </c>
      <c r="E18" s="4" t="s">
        <v>102</v>
      </c>
      <c r="F18" s="4" t="s">
        <v>103</v>
      </c>
      <c r="G18" s="10"/>
      <c r="H18" s="4" t="s">
        <v>104</v>
      </c>
      <c r="I18" s="4">
        <v>10522.0</v>
      </c>
      <c r="J18" s="4" t="s">
        <v>32</v>
      </c>
      <c r="K18" s="4" t="s">
        <v>20</v>
      </c>
      <c r="L18" s="4">
        <v>1.9493514639E10</v>
      </c>
      <c r="M18" s="9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>
      <c r="B19" s="5"/>
      <c r="C19" s="5"/>
      <c r="D19" s="6"/>
      <c r="L19" s="10"/>
      <c r="M19" s="9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>
      <c r="B20" s="5"/>
      <c r="C20" s="5"/>
      <c r="D20" s="6"/>
      <c r="G20" s="10"/>
      <c r="M20" s="9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>
      <c r="B21" s="5"/>
      <c r="C21" s="5"/>
      <c r="D21" s="6"/>
      <c r="G21" s="10"/>
      <c r="M21" s="9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B22" s="5"/>
      <c r="C22" s="5"/>
      <c r="D22" s="6"/>
      <c r="M22" s="9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4.5" customHeight="1">
      <c r="B23" s="5"/>
      <c r="C23" s="5"/>
      <c r="D23" s="6"/>
      <c r="G23" s="10"/>
      <c r="M23" s="9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4.5" customHeight="1">
      <c r="B24" s="5"/>
      <c r="C24" s="5"/>
      <c r="D24" s="6"/>
      <c r="G24" s="10"/>
      <c r="M24" s="9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4.5" customHeight="1">
      <c r="B25" s="5"/>
      <c r="C25" s="5"/>
      <c r="D25" s="6"/>
      <c r="G25" s="10"/>
      <c r="M25" s="9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4.5" customHeight="1">
      <c r="B26" s="5"/>
      <c r="C26" s="5"/>
      <c r="D26" s="6"/>
      <c r="G26" s="10"/>
      <c r="M26" s="9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4.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9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4.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9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4.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9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4.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9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4.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9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4.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9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4.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9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4.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9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4.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9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4.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9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4.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9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4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9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4.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9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4.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9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4.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9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4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9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4.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9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4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9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4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9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4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9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4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9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4.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9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4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9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4.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9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4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9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4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9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4.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9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4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9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4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9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4.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9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4.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9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4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9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4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9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4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9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4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9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4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9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4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9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4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9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4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9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4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9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4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9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4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9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4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9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4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9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4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9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4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9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4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9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4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9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4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9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4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9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4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9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4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9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4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9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4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9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4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9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4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9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4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9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4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9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4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9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4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9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4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9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4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9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4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9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4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9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4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9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4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9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4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9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4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9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4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9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4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9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4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9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4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9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4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9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4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9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4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9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4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9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4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9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4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9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4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9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4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9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4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9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4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9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4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9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4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9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4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9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4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9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4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9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4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9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4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9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4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9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4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9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4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9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4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9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4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9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4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9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4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9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4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9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4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9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4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9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4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9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4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9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4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9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4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9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4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9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4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9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4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9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4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9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4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9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4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9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4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9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4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9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4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9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4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9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4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9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4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9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4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9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4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9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4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9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4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9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4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9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4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9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4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9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4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9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4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9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4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9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4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9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4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9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4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9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4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9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4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9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4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9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4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9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4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9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4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9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4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9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4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9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4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9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4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9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4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9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4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9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4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9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4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9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4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9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4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9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4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9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4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9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4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9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4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9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4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9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4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9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4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9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4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9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4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9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4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9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4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9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4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9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4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9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4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9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4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9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4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9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4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9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4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9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4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9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4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9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4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9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4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9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4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9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4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9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4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9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4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9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4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9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4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9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4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9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4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9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4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9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4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9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4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9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4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9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4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9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4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9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4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9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4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9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4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9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4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9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4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9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4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9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4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9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4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9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4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9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4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9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4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9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4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9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4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9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4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9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4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9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4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9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4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9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4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9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4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9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4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9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4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9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4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9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4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9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4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9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4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9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4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9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4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9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4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9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4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9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4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9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4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9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4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9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4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9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4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9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4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9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4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9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4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9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4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9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4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9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4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9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4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9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4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9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4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9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4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9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4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9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4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9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4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9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4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9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4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9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4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9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4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9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4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9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4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9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4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9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4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9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4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9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4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9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4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9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4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9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4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9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4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9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4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9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4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9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4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9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4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9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4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9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4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9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4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9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4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9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4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9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4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9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4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9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4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9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4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9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4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9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4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9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4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9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4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9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4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9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4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9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4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9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4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9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4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9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4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9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4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9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4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9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4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9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4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9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4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9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4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9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4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9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4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9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4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9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4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9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4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9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4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9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4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9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4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9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4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9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4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9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4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9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4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9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4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9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4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9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4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9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4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9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4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9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4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9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4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9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4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9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4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9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4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9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4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9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4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9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4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9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4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9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4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9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4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9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4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9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4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9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4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9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4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9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4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9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4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9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4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9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4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9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4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9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4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9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4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9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4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9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4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9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4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9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4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9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4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9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4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9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4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9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4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9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4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9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4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9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4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9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4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9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4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9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4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9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4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9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4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9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4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9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4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9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4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9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4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9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4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9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4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9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4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9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4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9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4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9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4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9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4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9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4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9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4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9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4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9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4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9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4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9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4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9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4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9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4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9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4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9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4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9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4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9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4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9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4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9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4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9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4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9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4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9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4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9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4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9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4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9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4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9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4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9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4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9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4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9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4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9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4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9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4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9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4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9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4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9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4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9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4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9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4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9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4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9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4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9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4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9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4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9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4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9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4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9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4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9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4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9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4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9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4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9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4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9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4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9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4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9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4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9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4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9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4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9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4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9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4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9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4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9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4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9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4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9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4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9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4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9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4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9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4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9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4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9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4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9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4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9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4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9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4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9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4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9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4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9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4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9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4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9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4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9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4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9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4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9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4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9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4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9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4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9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4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9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4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9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4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9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4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9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4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9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4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9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4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9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4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9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4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9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4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9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4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9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4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9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4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9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4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9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4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9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4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9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4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9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4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9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4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9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4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9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4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9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4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9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4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9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4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9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4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9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4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9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4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9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4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9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4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9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4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9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4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9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4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9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4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9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4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9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4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9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4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9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4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9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4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9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4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9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4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9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4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9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4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9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4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9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4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9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4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9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4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9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4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9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4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9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4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9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4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9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4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9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4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9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4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9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4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9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4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9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4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9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4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9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4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9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4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9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4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9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4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9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4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9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4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9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4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9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4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9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4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9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4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9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4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9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4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9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4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9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4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9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4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9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4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9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4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9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4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9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4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9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4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9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4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9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4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9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4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9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4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9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4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9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4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9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4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9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4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9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4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9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4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9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4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9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4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9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4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9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4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9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4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9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4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9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4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9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4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9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4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9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4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9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4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9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4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9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4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9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4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9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4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9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4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9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4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9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4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9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4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9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4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9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4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9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4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9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4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9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4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9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4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9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4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9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4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9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4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9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4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9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4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9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4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9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4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9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4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9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4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9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4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9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4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9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4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9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4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9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4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9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4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9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4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9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4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9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4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9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4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9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4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9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4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9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4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9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</sheetData>
  <autoFilter ref="$A$1:$L$26">
    <sortState ref="A1:L26">
      <sortCondition ref="E1:E2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