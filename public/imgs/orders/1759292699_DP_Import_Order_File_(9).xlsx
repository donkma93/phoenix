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Sheet1!$A$1:$L$23</definedName>
  </definedNames>
  <calcPr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<sst xmlns="http://schemas.openxmlformats.org/spreadsheetml/2006/main" count="129" uniqueCount="82">
  <si>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</si>
  <si>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</si>
  <si>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</si>
  <si>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</si>
  <si>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</si>
  <si>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</si>
  <si>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</si>
  <si>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</si>
  <si>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</si>
  <si>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</si>
  <si>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</si>
  <si>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</si>
  <si>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113-6056930-0597049</t>
  </si>
  <si>
    <t>Baby flag</t>
  </si>
  <si>
    <t>6619f7cbb4bd8</t>
  </si>
  <si>
    <t>Rachel Gerding</t>
  </si>
  <si>
    <t>3012 LEXINGTON RD</t>
  </si>
  <si>
    <t>LOUISVILLE</t>
  </si>
  <si>
    <t>40206-3006</t>
  </si>
  <si>
    <t>KY</t>
  </si>
  <si>
    <t>US</t>
  </si>
  <si>
    <t>113-9098156-0952238</t>
  </si>
  <si>
    <t>Dawn Campion</t>
  </si>
  <si>
    <t>157 CLOVER ST</t>
  </si>
  <si>
    <t>WATERBURY</t>
  </si>
  <si>
    <t>06706-1928</t>
  </si>
  <si>
    <t>CT</t>
  </si>
  <si>
    <t>203-756-3267</t>
  </si>
  <si>
    <t>114-5961634-7596242</t>
  </si>
  <si>
    <t>Michelle Archibald</t>
  </si>
  <si>
    <t>45 MORTON ST APT 18</t>
  </si>
  <si>
    <t>QUINCY</t>
  </si>
  <si>
    <t>02169-4825</t>
  </si>
  <si>
    <t>MA</t>
  </si>
  <si>
    <t>112-4151438-9838650</t>
  </si>
  <si>
    <t>Angie Blankenship</t>
  </si>
  <si>
    <t>906 Lincoln Avenue</t>
  </si>
  <si>
    <t>Johnson City</t>
  </si>
  <si>
    <t>TN</t>
  </si>
  <si>
    <t>112-0201399-1067468</t>
  </si>
  <si>
    <t>Mary Kolenovic</t>
  </si>
  <si>
    <t>19454 RIVERWALK DR</t>
  </si>
  <si>
    <t>PORTER</t>
  </si>
  <si>
    <t>77365-3779</t>
  </si>
  <si>
    <t>TX</t>
  </si>
  <si>
    <t>114-6263128-5594613</t>
  </si>
  <si>
    <t>Kalyx Schroeder</t>
  </si>
  <si>
    <t>3206 TOPEKA ST</t>
  </si>
  <si>
    <t>CORPUS CHRISTI</t>
  </si>
  <si>
    <t>78404-2439</t>
  </si>
  <si>
    <t>112-6915236-3042652</t>
  </si>
  <si>
    <t>Sarah Roberts</t>
  </si>
  <si>
    <t>5802 VELASCO AVE</t>
  </si>
  <si>
    <t>DALLAS</t>
  </si>
  <si>
    <t>75206-6328</t>
  </si>
  <si>
    <t>111-1947394-5771401</t>
  </si>
  <si>
    <t>Anna Pappas</t>
  </si>
  <si>
    <t>7401 ALLAN AVE</t>
  </si>
  <si>
    <t>FALLS CHURCH</t>
  </si>
  <si>
    <t>22046-1905</t>
  </si>
  <si>
    <t>VA</t>
  </si>
  <si>
    <t>112-8936466-0017064</t>
  </si>
  <si>
    <t>Emily Maria Carro</t>
  </si>
  <si>
    <t>7307 WESTON WAY</t>
  </si>
  <si>
    <t>NASHVILLE</t>
  </si>
  <si>
    <t>37221-2869</t>
  </si>
  <si>
    <t>114-4074011-8789000</t>
  </si>
  <si>
    <t>Anna Conrad</t>
  </si>
  <si>
    <t>794 E DIVISION RD</t>
  </si>
  <si>
    <t>CLINTON</t>
  </si>
  <si>
    <t>64735-9118</t>
  </si>
  <si>
    <t>MO</t>
  </si>
  <si>
    <t>113-4117523-4765040</t>
  </si>
  <si>
    <t>April Michelotti</t>
  </si>
  <si>
    <t>12541 COROFIN CV</t>
  </si>
  <si>
    <t>ARLINGTON</t>
  </si>
  <si>
    <t>38002-2577</t>
  </si>
  <si>
    <t>129027330568147</t>
  </si>
  <si>
    <t>Yvonne Khazen</t>
  </si>
  <si>
    <t>49 Sharlene Ln</t>
  </si>
  <si>
    <t>Plainville</t>
  </si>
  <si>
    <t>(508) 287-4878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</si>
</sst>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4" fillId="3" fontId="4" numFmtId="0" xfId="0" applyAlignment="1" applyBorder="1" applyFill="1" applyFont="1">
      <alignment horizontal="left"/>
    </xf>
    <xf borderId="5" fillId="3" fontId="4" numFmtId="0" xfId="0" applyAlignment="1" applyBorder="1" applyFont="1">
      <alignment horizontal="left"/>
    </xf>
    <xf borderId="0" fillId="0" fontId="2" numFmtId="0" xfId="0" applyFont="1"/>
    <xf quotePrefix="1" borderId="0" fillId="0" fontId="2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2" numFmtId="0" xfId="0" applyFont="1"/>
    <xf borderId="6" fillId="3" fontId="4" numFmtId="0" xfId="0" applyAlignment="1" applyBorder="1" applyFont="1">
      <alignment horizontal="left" readingOrder="0"/>
    </xf>
    <xf borderId="6" fillId="3" fontId="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4.5" customHeight="1">
      <c r="A2" s="4" t="s">
        <v>12</v>
      </c>
      <c r="B2" s="5" t="s">
        <v>13</v>
      </c>
      <c r="C2" s="5" t="s">
        <v>14</v>
      </c>
      <c r="D2" s="6">
        <v>1.0</v>
      </c>
      <c r="E2" s="4" t="s">
        <v>15</v>
      </c>
      <c r="F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>
        <v>5.028899068E9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4.5" customHeight="1">
      <c r="A3" s="4" t="s">
        <v>21</v>
      </c>
      <c r="B3" s="5" t="s">
        <v>13</v>
      </c>
      <c r="C3" s="5" t="s">
        <v>14</v>
      </c>
      <c r="D3" s="6">
        <v>1.0</v>
      </c>
      <c r="E3" s="4" t="s">
        <v>22</v>
      </c>
      <c r="F3" s="4" t="s">
        <v>23</v>
      </c>
      <c r="H3" s="4" t="s">
        <v>24</v>
      </c>
      <c r="I3" s="4" t="s">
        <v>25</v>
      </c>
      <c r="J3" s="4" t="s">
        <v>26</v>
      </c>
      <c r="K3" s="4" t="s">
        <v>20</v>
      </c>
      <c r="L3" s="4" t="s">
        <v>27</v>
      </c>
      <c r="M3" s="8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4.5" customHeight="1">
      <c r="A4" s="4" t="s">
        <v>28</v>
      </c>
      <c r="B4" s="5" t="s">
        <v>13</v>
      </c>
      <c r="C4" s="5" t="s">
        <v>14</v>
      </c>
      <c r="D4" s="6">
        <v>1.0</v>
      </c>
      <c r="E4" s="4" t="s">
        <v>29</v>
      </c>
      <c r="F4" s="4" t="s">
        <v>30</v>
      </c>
      <c r="H4" s="4" t="s">
        <v>31</v>
      </c>
      <c r="I4" s="4" t="s">
        <v>32</v>
      </c>
      <c r="J4" s="4" t="s">
        <v>33</v>
      </c>
      <c r="K4" s="4" t="s">
        <v>20</v>
      </c>
      <c r="L4" s="4">
        <v>8.577194545E9</v>
      </c>
      <c r="M4" s="8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4.5" customHeight="1">
      <c r="A5" s="4" t="s">
        <v>34</v>
      </c>
      <c r="B5" s="5" t="s">
        <v>13</v>
      </c>
      <c r="C5" s="5" t="s">
        <v>14</v>
      </c>
      <c r="D5" s="6">
        <v>1.0</v>
      </c>
      <c r="E5" s="4" t="s">
        <v>35</v>
      </c>
      <c r="F5" s="4" t="s">
        <v>36</v>
      </c>
      <c r="H5" s="4" t="s">
        <v>37</v>
      </c>
      <c r="I5" s="4">
        <v>37604.0</v>
      </c>
      <c r="J5" s="4" t="s">
        <v>38</v>
      </c>
      <c r="K5" s="4" t="s">
        <v>20</v>
      </c>
      <c r="L5" s="4">
        <v>4.232320068E9</v>
      </c>
      <c r="M5" s="8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4.5" customHeight="1">
      <c r="A6" s="4" t="s">
        <v>39</v>
      </c>
      <c r="B6" s="5" t="s">
        <v>13</v>
      </c>
      <c r="C6" s="5" t="s">
        <v>14</v>
      </c>
      <c r="D6" s="6">
        <v>1.0</v>
      </c>
      <c r="E6" s="4" t="s">
        <v>40</v>
      </c>
      <c r="F6" s="4" t="s">
        <v>41</v>
      </c>
      <c r="H6" s="4" t="s">
        <v>42</v>
      </c>
      <c r="I6" s="4" t="s">
        <v>43</v>
      </c>
      <c r="J6" s="4" t="s">
        <v>44</v>
      </c>
      <c r="K6" s="4" t="s">
        <v>20</v>
      </c>
      <c r="L6" s="9">
        <f>+17182077003</f>
        <v>17182077003</v>
      </c>
      <c r="M6" s="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4.5" customHeight="1">
      <c r="A7" s="4" t="s">
        <v>45</v>
      </c>
      <c r="B7" s="5" t="s">
        <v>13</v>
      </c>
      <c r="C7" s="5" t="s">
        <v>14</v>
      </c>
      <c r="D7" s="6">
        <v>1.0</v>
      </c>
      <c r="E7" s="4" t="s">
        <v>46</v>
      </c>
      <c r="F7" s="4" t="s">
        <v>47</v>
      </c>
      <c r="H7" s="4" t="s">
        <v>48</v>
      </c>
      <c r="I7" s="4" t="s">
        <v>49</v>
      </c>
      <c r="J7" s="4" t="s">
        <v>44</v>
      </c>
      <c r="K7" s="4" t="s">
        <v>20</v>
      </c>
      <c r="L7" s="4">
        <v>3.618002727E9</v>
      </c>
      <c r="M7" s="8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4.5" customHeight="1">
      <c r="A8" s="4" t="s">
        <v>45</v>
      </c>
      <c r="B8" s="5" t="s">
        <v>13</v>
      </c>
      <c r="C8" s="5" t="s">
        <v>14</v>
      </c>
      <c r="D8" s="6">
        <v>1.0</v>
      </c>
      <c r="E8" s="4" t="s">
        <v>46</v>
      </c>
      <c r="F8" s="4" t="s">
        <v>47</v>
      </c>
      <c r="H8" s="4" t="s">
        <v>48</v>
      </c>
      <c r="I8" s="4" t="s">
        <v>49</v>
      </c>
      <c r="J8" s="4" t="s">
        <v>44</v>
      </c>
      <c r="K8" s="4" t="s">
        <v>20</v>
      </c>
      <c r="L8" s="4">
        <v>3.618002727E9</v>
      </c>
      <c r="M8" s="8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4.5" customHeight="1">
      <c r="A9" s="4" t="s">
        <v>50</v>
      </c>
      <c r="B9" s="5" t="s">
        <v>13</v>
      </c>
      <c r="C9" s="5" t="s">
        <v>14</v>
      </c>
      <c r="D9" s="6">
        <v>1.0</v>
      </c>
      <c r="E9" s="4" t="s">
        <v>51</v>
      </c>
      <c r="F9" s="4" t="s">
        <v>52</v>
      </c>
      <c r="H9" s="4" t="s">
        <v>53</v>
      </c>
      <c r="I9" s="4" t="s">
        <v>54</v>
      </c>
      <c r="J9" s="4" t="s">
        <v>44</v>
      </c>
      <c r="K9" s="4" t="s">
        <v>20</v>
      </c>
      <c r="L9" s="4">
        <v>6.159751649E9</v>
      </c>
      <c r="M9" s="8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4.5" customHeight="1">
      <c r="A10" s="4" t="s">
        <v>55</v>
      </c>
      <c r="B10" s="5" t="s">
        <v>13</v>
      </c>
      <c r="C10" s="5" t="s">
        <v>14</v>
      </c>
      <c r="D10" s="6">
        <v>1.0</v>
      </c>
      <c r="E10" s="4" t="s">
        <v>56</v>
      </c>
      <c r="F10" s="4" t="s">
        <v>57</v>
      </c>
      <c r="H10" s="4" t="s">
        <v>58</v>
      </c>
      <c r="I10" s="4" t="s">
        <v>59</v>
      </c>
      <c r="J10" s="4" t="s">
        <v>60</v>
      </c>
      <c r="K10" s="4" t="s">
        <v>20</v>
      </c>
      <c r="L10" s="4">
        <v>4.43834357E9</v>
      </c>
      <c r="M10" s="8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4.5" customHeight="1">
      <c r="A11" s="4" t="s">
        <v>61</v>
      </c>
      <c r="B11" s="5" t="s">
        <v>13</v>
      </c>
      <c r="C11" s="5" t="s">
        <v>14</v>
      </c>
      <c r="D11" s="6">
        <v>1.0</v>
      </c>
      <c r="E11" s="4" t="s">
        <v>62</v>
      </c>
      <c r="F11" s="4" t="s">
        <v>63</v>
      </c>
      <c r="H11" s="4" t="s">
        <v>64</v>
      </c>
      <c r="I11" s="4" t="s">
        <v>65</v>
      </c>
      <c r="J11" s="4" t="s">
        <v>38</v>
      </c>
      <c r="K11" s="4" t="s">
        <v>20</v>
      </c>
      <c r="L11" s="4">
        <v>6.155121094E9</v>
      </c>
      <c r="M11" s="8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4.5" customHeight="1">
      <c r="A12" s="4" t="s">
        <v>66</v>
      </c>
      <c r="B12" s="5" t="s">
        <v>13</v>
      </c>
      <c r="C12" s="5" t="s">
        <v>14</v>
      </c>
      <c r="D12" s="6">
        <v>1.0</v>
      </c>
      <c r="E12" s="4" t="s">
        <v>67</v>
      </c>
      <c r="F12" s="4" t="s">
        <v>68</v>
      </c>
      <c r="H12" s="4" t="s">
        <v>69</v>
      </c>
      <c r="I12" s="4" t="s">
        <v>70</v>
      </c>
      <c r="J12" s="4" t="s">
        <v>71</v>
      </c>
      <c r="K12" s="4" t="s">
        <v>20</v>
      </c>
      <c r="L12" s="4">
        <v>0.0</v>
      </c>
      <c r="M12" s="8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4.5" customHeight="1">
      <c r="A13" s="4" t="s">
        <v>72</v>
      </c>
      <c r="B13" s="5" t="s">
        <v>13</v>
      </c>
      <c r="C13" s="5" t="s">
        <v>14</v>
      </c>
      <c r="D13" s="6">
        <v>1.0</v>
      </c>
      <c r="E13" s="4" t="s">
        <v>73</v>
      </c>
      <c r="F13" s="4" t="s">
        <v>74</v>
      </c>
      <c r="H13" s="4" t="s">
        <v>75</v>
      </c>
      <c r="I13" s="4" t="s">
        <v>76</v>
      </c>
      <c r="J13" s="4" t="s">
        <v>38</v>
      </c>
      <c r="K13" s="4" t="s">
        <v>20</v>
      </c>
      <c r="L13" s="9">
        <f>+19016017218</f>
        <v>19016017218</v>
      </c>
      <c r="M13" s="8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4.5" customHeight="1">
      <c r="A14" s="10" t="s">
        <v>77</v>
      </c>
      <c r="B14" s="5" t="s">
        <v>13</v>
      </c>
      <c r="C14" s="5" t="s">
        <v>14</v>
      </c>
      <c r="D14" s="6">
        <v>1.0</v>
      </c>
      <c r="E14" s="4" t="s">
        <v>78</v>
      </c>
      <c r="F14" s="4" t="s">
        <v>79</v>
      </c>
      <c r="H14" s="4" t="s">
        <v>80</v>
      </c>
      <c r="I14" s="4">
        <v>2762.0</v>
      </c>
      <c r="J14" s="4" t="s">
        <v>33</v>
      </c>
      <c r="K14" s="4" t="s">
        <v>20</v>
      </c>
      <c r="L14" s="4" t="s">
        <v>81</v>
      </c>
      <c r="M14" s="8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4.5" customHeight="1">
      <c r="B15" s="11"/>
      <c r="C15" s="11"/>
      <c r="D15" s="6"/>
      <c r="L15" s="12"/>
      <c r="M15" s="8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4.5" customHeight="1">
      <c r="B16" s="11"/>
      <c r="C16" s="11"/>
      <c r="D16" s="6"/>
      <c r="M16" s="8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4.5" customHeight="1">
      <c r="B17" s="11"/>
      <c r="C17" s="11"/>
      <c r="D17" s="6"/>
      <c r="M17" s="8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4.5" customHeight="1">
      <c r="B18" s="11"/>
      <c r="C18" s="11"/>
      <c r="D18" s="6"/>
      <c r="M18" s="8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4.5" customHeight="1">
      <c r="B19" s="11"/>
      <c r="C19" s="11"/>
      <c r="D19" s="6"/>
      <c r="M19" s="8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4.5" customHeight="1">
      <c r="B20" s="11"/>
      <c r="C20" s="11"/>
      <c r="D20" s="6"/>
      <c r="M20" s="8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4.5" customHeight="1">
      <c r="B21" s="11"/>
      <c r="C21" s="11"/>
      <c r="D21" s="6"/>
      <c r="M21" s="8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4.5" customHeight="1">
      <c r="B22" s="11"/>
      <c r="C22" s="11"/>
      <c r="D22" s="6"/>
      <c r="J22" s="13"/>
      <c r="M22" s="8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4.5" customHeight="1">
      <c r="B23" s="11"/>
      <c r="C23" s="11"/>
      <c r="D23" s="6"/>
      <c r="E23" s="13"/>
      <c r="F23" s="13"/>
      <c r="H23" s="13"/>
      <c r="I23" s="13"/>
      <c r="J23" s="13"/>
      <c r="L23" s="13"/>
      <c r="M23" s="8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4.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8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4.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8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4.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8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4.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8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4.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8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4.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8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4.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8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4.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8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4.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8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4.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8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4.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8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4.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8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4.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8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4.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8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4.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8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4.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8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4.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8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4.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8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4.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8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4.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8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4.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8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4.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8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4.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8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4.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8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4.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8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4.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8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4.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8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4.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8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4.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8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4.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8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4.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8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4.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8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4.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8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4.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8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4.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8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4.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8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4.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8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4.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8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4.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8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4.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8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4.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8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4.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8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4.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8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4.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8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4.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8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4.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8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4.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8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4.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8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4.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8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4.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8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4.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8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4.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8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4.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8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4.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8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4.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8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4.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8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4.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8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4.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8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4.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8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4.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8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4.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8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4.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8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4.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8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4.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8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4.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8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4.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8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4.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8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4.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8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4.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8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4.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8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4.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8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4.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8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4.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8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4.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8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4.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8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4.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8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4.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8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4.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8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4.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8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4.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8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4.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8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4.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8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4.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8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4.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8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4.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8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4.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8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4.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8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4.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8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4.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8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4.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8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4.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8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4.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8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4.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8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4.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8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4.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8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4.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8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4.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8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4.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8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4.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8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4.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8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4.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8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4.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8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4.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8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4.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8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4.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8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4.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8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4.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8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4.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8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4.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8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4.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8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4.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8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4.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8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4.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8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4.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8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4.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8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4.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8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4.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8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4.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8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4.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8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4.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8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4.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8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4.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8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4.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8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4.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8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4.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8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4.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8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4.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8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4.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8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4.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8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4.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8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4.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8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4.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8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4.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8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4.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8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4.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8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4.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8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4.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8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4.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8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4.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8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4.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8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4.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8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4.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8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4.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8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4.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8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4.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8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4.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8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4.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8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4.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8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4.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8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4.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8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4.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8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4.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8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4.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8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4.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8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4.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8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4.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8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4.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8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4.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8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4.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8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4.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8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4.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8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4.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8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4.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8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4.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8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4.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8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4.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8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4.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8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4.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8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4.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8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4.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8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4.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8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4.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8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4.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8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4.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8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4.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8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4.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8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4.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8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4.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8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4.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8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4.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8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4.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8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4.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8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4.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8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4.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8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4.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8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4.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8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4.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8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4.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8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4.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8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4.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8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4.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8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4.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8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4.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8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4.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8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4.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8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4.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8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4.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8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4.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8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4.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8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4.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8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4.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8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4.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8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4.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8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4.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8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4.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8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4.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8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4.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8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4.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8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4.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8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4.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8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4.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8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4.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8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4.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8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4.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8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4.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8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4.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8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4.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8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4.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8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4.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8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4.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8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4.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8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4.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8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4.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8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4.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8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4.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8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4.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8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4.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8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4.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8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4.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8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4.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8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4.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8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4.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8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4.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8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4.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8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4.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8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4.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8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4.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8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4.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8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4.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8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4.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8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4.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8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4.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8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4.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8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4.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8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4.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8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4.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8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4.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8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4.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8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4.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8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4.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8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4.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8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4.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8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4.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8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4.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8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4.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8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4.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8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4.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8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4.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8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4.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8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4.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8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4.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8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4.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8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4.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8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4.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8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4.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8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4.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8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4.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8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4.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8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4.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8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4.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8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4.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8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4.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8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4.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8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4.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8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4.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8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4.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8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4.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8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4.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8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4.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8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4.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8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4.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8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4.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8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4.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8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4.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8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4.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8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4.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8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4.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8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4.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8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4.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8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4.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8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4.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8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4.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8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4.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8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4.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8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4.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8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4.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8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4.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8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4.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8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4.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8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4.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8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4.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8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4.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8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4.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8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4.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8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4.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8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4.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8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4.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8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4.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8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4.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8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4.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8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4.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8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4.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8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4.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8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4.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8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4.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8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4.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8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4.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8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4.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8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4.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8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4.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8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4.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8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4.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8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4.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8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4.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8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4.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8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4.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8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4.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8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4.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8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4.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8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4.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8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4.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8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4.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8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4.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8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4.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8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4.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8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4.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8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4.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8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4.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8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4.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8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4.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8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4.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8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4.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8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4.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8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4.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8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4.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8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4.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8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4.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8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4.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8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4.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8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4.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8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4.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8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4.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8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4.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8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4.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8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4.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8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4.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8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4.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8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4.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8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4.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8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4.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8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4.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8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4.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8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4.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8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4.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8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4.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8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4.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8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4.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8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4.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8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4.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8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4.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8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4.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8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4.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8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4.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8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4.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8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4.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8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4.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8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4.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8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4.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8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4.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8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4.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8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4.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8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4.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8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4.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8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4.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8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4.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8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4.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8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4.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8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4.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8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4.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8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4.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8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4.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8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4.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8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4.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8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4.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8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4.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8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4.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8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4.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8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4.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8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4.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8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4.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8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4.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8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4.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8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4.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8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4.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8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4.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8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4.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8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4.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8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4.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8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4.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8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4.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8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4.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8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4.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8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4.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8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4.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8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4.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8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4.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8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4.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8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4.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8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4.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8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4.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8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4.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8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4.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8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4.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8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4.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8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4.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8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4.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8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4.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8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4.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8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4.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8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4.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8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4.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8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4.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8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4.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8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4.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8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4.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8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4.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8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4.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8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4.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8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4.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8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4.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8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4.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8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4.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8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4.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8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4.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8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4.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8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4.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8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4.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8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4.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8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4.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8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4.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8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4.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8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4.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8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4.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8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4.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8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4.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8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4.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8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4.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8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4.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8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4.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8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4.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8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4.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8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4.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8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4.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8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4.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8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4.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8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4.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8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4.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8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4.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8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4.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8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4.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8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4.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8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4.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8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4.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8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4.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8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4.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8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4.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8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4.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8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4.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8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4.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8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4.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8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4.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8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4.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8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4.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8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4.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8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4.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8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4.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8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4.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8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4.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8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4.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8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4.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8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4.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8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4.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8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4.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8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4.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8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4.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8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4.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8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4.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8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4.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8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4.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8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4.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8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4.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8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4.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8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4.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8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4.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8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4.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8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4.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8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4.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8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4.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8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4.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8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4.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8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4.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8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4.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8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4.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8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4.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8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4.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8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4.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8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4.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8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4.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8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4.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8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4.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8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4.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8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4.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8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4.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8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4.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8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4.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8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4.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8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4.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8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4.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8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4.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8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4.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8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4.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8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4.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8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4.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8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4.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8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4.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8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4.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8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4.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8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4.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8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4.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8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</sheetData>
  <autoFilter ref="$A$1:$L$23">
    <sortState ref="A1:L23">
      <sortCondition ref="E1:E2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