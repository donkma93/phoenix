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348A5BDD-6020-4DD9-9FD4-567464753C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humdecor" sheetId="2" r:id="rId2"/>
  </sheets>
  <externalReferences>
    <externalReference r:id="rId3"/>
  </externalReference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3" i="1"/>
  <c r="J2" i="1"/>
  <c r="D9" i="1" l="1"/>
  <c r="E9" i="1"/>
  <c r="K9" i="1"/>
  <c r="D2" i="1"/>
  <c r="E2" i="1"/>
  <c r="K2" i="1"/>
  <c r="D3" i="1"/>
  <c r="E3" i="1"/>
  <c r="K3" i="1"/>
  <c r="D4" i="1"/>
  <c r="E4" i="1"/>
  <c r="K4" i="1"/>
  <c r="D5" i="1"/>
  <c r="E5" i="1"/>
  <c r="K5" i="1"/>
  <c r="D6" i="1"/>
  <c r="E6" i="1"/>
  <c r="K6" i="1"/>
  <c r="D7" i="1"/>
  <c r="E7" i="1"/>
  <c r="K7" i="1"/>
  <c r="D8" i="1"/>
  <c r="E8" i="1"/>
  <c r="K8" i="1"/>
</calcChain>
</file>

<file path=xl/sharedStrings.xml><?xml version="1.0" encoding="utf-8"?>
<sst xmlns="http://schemas.openxmlformats.org/spreadsheetml/2006/main" count="250" uniqueCount="145">
  <si>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</si>
  <si>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</si>
  <si>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</si>
  <si>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</si>
  <si>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</si>
  <si>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</si>
  <si>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</si>
  <si>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</si>
  <si>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</si>
  <si>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</si>
  <si>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</si>
  <si>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</si>
  <si>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</si>
  <si>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</si>
  <si>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</si>
  <si>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</si>
  <si>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</si>
  <si>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</si>
  <si>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</si>
  <si>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</si>
  <si>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</si>
  <si>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</si>
  <si>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</si>
  <si>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</si>
  <si>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</si>
  <si>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</si>
  <si>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</si>
  <si>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</si>
  <si>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</si>
  <si>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</si>
  <si>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</si>
  <si>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</si>
  <si>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</si>
  <si>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</si>
  <si>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</si>
  <si>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</si>
  <si>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</si>
  <si>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</si>
  <si>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</si>
  <si>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</si>
  <si>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</si>
  <si>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</si>
  <si>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</si>
  <si>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</si>
  <si>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</si>
  <si>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</si>
  <si>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</si>
  <si>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Bamboo Fan Wall Decor, Folding Fan, Boho Wall Decor, Japanese Wall Art, Wall Decor Fan, Vintage fan, Boho Wall Hanging, Fan Headboard</t>
  </si>
  <si>
    <t>Camille (5n5xvbjvk05s3c7d)</t>
  </si>
  <si>
    <t>Camille Dumetz</t>
  </si>
  <si>
    <t>SALE50</t>
  </si>
  <si>
    <t>SALE50 - % off</t>
  </si>
  <si>
    <t>USD</t>
  </si>
  <si>
    <t>########</t>
  </si>
  <si>
    <t>281 Rue Du Faubourg Des Postes</t>
  </si>
  <si>
    <t>Lille</t>
  </si>
  <si>
    <t>Nord</t>
  </si>
  <si>
    <t>France</t>
  </si>
  <si>
    <t>Width:48 Inches,STYLE:Terracotta,Personalization:+33669158519</t>
  </si>
  <si>
    <t>online</t>
  </si>
  <si>
    <t>listing</t>
  </si>
  <si>
    <t>online_cc</t>
  </si>
  <si>
    <t>SKU00010-002Terracotta</t>
  </si>
  <si>
    <t>Lyris (l1neekoz)</t>
  </si>
  <si>
    <t>Lyris Thien Gordon</t>
  </si>
  <si>
    <t>5625 Republic Of Texas Blvd</t>
  </si>
  <si>
    <t>Austin</t>
  </si>
  <si>
    <t>TX</t>
  </si>
  <si>
    <t>78735-6514</t>
  </si>
  <si>
    <t>United States</t>
  </si>
  <si>
    <t>Width:63 Inches,Personalization:5124315390</t>
  </si>
  <si>
    <t>SKU00010-005redpink</t>
  </si>
  <si>
    <t>Shenice Lawrence</t>
  </si>
  <si>
    <t>36 Washington Ave</t>
  </si>
  <si>
    <t>Apt 331</t>
  </si>
  <si>
    <t>Carteret</t>
  </si>
  <si>
    <t>NJ</t>
  </si>
  <si>
    <t>Size:40inch,Personalization:732-526-5492 Black &amp; beige</t>
  </si>
  <si>
    <t>SKU00010-001gray</t>
  </si>
  <si>
    <t>07008</t>
  </si>
  <si>
    <t>SKU00010-003Ebony</t>
  </si>
  <si>
    <t>SKU00010-001Ebony</t>
  </si>
  <si>
    <t>SKU002Red</t>
  </si>
  <si>
    <t>SKU00010-003pink</t>
  </si>
  <si>
    <t>SKU00010-000terracotta</t>
  </si>
  <si>
    <t>SKU00010-001terracotta</t>
  </si>
  <si>
    <t>20/10/2025</t>
  </si>
  <si>
    <t>Christine Banihashemi</t>
  </si>
  <si>
    <t>5540 Eden Roc Dr</t>
  </si>
  <si>
    <t>GRANITE BAY</t>
  </si>
  <si>
    <t>CA</t>
  </si>
  <si>
    <t>Jordyn Navarro</t>
  </si>
  <si>
    <t>603 Wright Valley Rd</t>
  </si>
  <si>
    <t>SMITHVILLE</t>
  </si>
  <si>
    <t>MO</t>
  </si>
  <si>
    <t>Miosoti Jerez Lara</t>
  </si>
  <si>
    <t>26 Jennifer Dr</t>
  </si>
  <si>
    <t>CONCORD</t>
  </si>
  <si>
    <t>NH</t>
  </si>
  <si>
    <t>Bamboo Fan Wall Decor, Folding Fan Headboard, Boho Wall Decor, Boho Wall Art, Oversized Fan, Bedroom Decor, Japanese Wall Art, Wall Decor</t>
  </si>
  <si>
    <t>SALE5</t>
  </si>
  <si>
    <t>SALE5 - % off</t>
  </si>
  <si>
    <t>Aaron Rickards</t>
  </si>
  <si>
    <t>1A MILLENNIUM CT</t>
  </si>
  <si>
    <t>DROUIN</t>
  </si>
  <si>
    <t>VIC</t>
  </si>
  <si>
    <t>Australia</t>
  </si>
  <si>
    <t>Size:60 inches,Color:Pink,Personalization:0400740674</t>
  </si>
  <si>
    <t>india krug (indkru)</t>
  </si>
  <si>
    <t>India Krug</t>
  </si>
  <si>
    <t>201 Osage Ln</t>
  </si>
  <si>
    <t>Apt 24</t>
  </si>
  <si>
    <t>Pittsburgh</t>
  </si>
  <si>
    <t>PA</t>
  </si>
  <si>
    <t>15208-2755</t>
  </si>
  <si>
    <t>Width:31 Inches,STYLE:Terracotta,Personalization:7244647174</t>
  </si>
  <si>
    <t>Ruby Victoria Rose Edwards (xjef5hvt0yanxgl1)</t>
  </si>
  <si>
    <t>Ruby Victoria Rose Edwards</t>
  </si>
  <si>
    <t>9/188 The Parade Ascot Vale VIC 3032</t>
  </si>
  <si>
    <t>Ascot Vale</t>
  </si>
  <si>
    <t>Width:40 Inches,STYLE:Terracotta,Personalization:+61478525077</t>
  </si>
  <si>
    <t>mervette111</t>
  </si>
  <si>
    <t>Mervette Rosewell</t>
  </si>
  <si>
    <t>171 Bateau Bay Rd, Bateau Bay NSW 2261, Australia</t>
  </si>
  <si>
    <t>Bateau Bay</t>
  </si>
  <si>
    <t>NSW</t>
  </si>
  <si>
    <t>Width:31 Inches,STYLE:Terracotta,Personalization:+61466797870</t>
  </si>
  <si>
    <t>Sign in with Apple user (i361dj5et600jd0j)</t>
  </si>
  <si>
    <t>Stephanie Younes</t>
  </si>
  <si>
    <t>1543 Dingens Avenue</t>
  </si>
  <si>
    <t>Windermere</t>
  </si>
  <si>
    <t>FL</t>
  </si>
  <si>
    <t>Width:31 Inches,STYLE:Terracotta,Personalization:+1 321-512-9388</t>
  </si>
  <si>
    <t>03301</t>
  </si>
  <si>
    <t>3826836476-003Ebony</t>
  </si>
  <si>
    <t>3830794506-001Ebony</t>
  </si>
  <si>
    <t>3831344546-002Red</t>
  </si>
  <si>
    <t>3832024462-003pink</t>
  </si>
  <si>
    <t>3831823324-000terracotta</t>
  </si>
  <si>
    <t>3830256876-001terracotta</t>
  </si>
  <si>
    <t>3832337461-000terracotta</t>
  </si>
  <si>
    <t>3832306093-000terracotta</t>
  </si>
  <si>
    <t>171 Bateau Bay Rd</t>
  </si>
  <si>
    <t xml:space="preserve">9/188 The Parade 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</si>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</sst>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right"/>
    </xf>
    <xf numFmtId="0" fontId="6" fillId="0" borderId="0" xfId="0" quotePrefix="1" applyFont="1"/>
    <xf numFmtId="14" fontId="4" fillId="5" borderId="6" xfId="0" applyNumberFormat="1" applyFont="1" applyFill="1" applyBorder="1" applyAlignment="1">
      <alignment horizontal="right"/>
    </xf>
    <xf numFmtId="0" fontId="4" fillId="5" borderId="7" xfId="0" applyFont="1" applyFill="1" applyBorder="1"/>
    <xf numFmtId="0" fontId="4" fillId="4" borderId="7" xfId="0" applyFont="1" applyFill="1" applyBorder="1"/>
    <xf numFmtId="0" fontId="4" fillId="5" borderId="7" xfId="0" applyFont="1" applyFill="1" applyBorder="1" applyAlignment="1">
      <alignment horizontal="right"/>
    </xf>
    <xf numFmtId="11" fontId="4" fillId="5" borderId="7" xfId="0" applyNumberFormat="1" applyFont="1" applyFill="1" applyBorder="1" applyAlignment="1">
      <alignment horizontal="right"/>
    </xf>
    <xf numFmtId="0" fontId="4" fillId="5" borderId="7" xfId="0" applyFont="1" applyFill="1" applyBorder="1" applyAlignment="1">
      <alignment horizontal="center"/>
    </xf>
    <xf numFmtId="0" fontId="4" fillId="5" borderId="9" xfId="0" applyFont="1" applyFill="1" applyBorder="1"/>
    <xf numFmtId="14" fontId="4" fillId="5" borderId="10" xfId="0" applyNumberFormat="1" applyFont="1" applyFill="1" applyBorder="1" applyAlignment="1">
      <alignment horizontal="right"/>
    </xf>
    <xf numFmtId="0" fontId="4" fillId="5" borderId="11" xfId="0" applyFont="1" applyFill="1" applyBorder="1"/>
    <xf numFmtId="0" fontId="4" fillId="4" borderId="11" xfId="0" applyFont="1" applyFill="1" applyBorder="1"/>
    <xf numFmtId="0" fontId="4" fillId="5" borderId="11" xfId="0" applyFont="1" applyFill="1" applyBorder="1" applyAlignment="1">
      <alignment horizontal="right"/>
    </xf>
    <xf numFmtId="11" fontId="4" fillId="5" borderId="11" xfId="0" applyNumberFormat="1" applyFont="1" applyFill="1" applyBorder="1" applyAlignment="1">
      <alignment horizontal="right"/>
    </xf>
    <xf numFmtId="0" fontId="4" fillId="5" borderId="11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8" xfId="0" applyFont="1" applyFill="1" applyBorder="1"/>
    <xf numFmtId="0" fontId="4" fillId="5" borderId="5" xfId="0" applyFont="1" applyFill="1" applyBorder="1"/>
    <xf numFmtId="0" fontId="4" fillId="4" borderId="1" xfId="0" applyFont="1" applyFill="1" applyBorder="1" applyAlignment="1">
      <alignment wrapText="1"/>
    </xf>
    <xf numFmtId="0" fontId="4" fillId="5" borderId="2" xfId="0" applyFont="1" applyFill="1" applyBorder="1" applyAlignment="1">
      <alignment horizontal="right" wrapText="1"/>
    </xf>
    <xf numFmtId="0" fontId="4" fillId="5" borderId="2" xfId="0" applyFont="1" applyFill="1" applyBorder="1" applyAlignment="1">
      <alignment wrapText="1"/>
    </xf>
    <xf numFmtId="11" fontId="4" fillId="5" borderId="2" xfId="0" applyNumberFormat="1" applyFont="1" applyFill="1" applyBorder="1" applyAlignment="1">
      <alignment horizontal="right" wrapText="1"/>
    </xf>
    <xf numFmtId="0" fontId="4" fillId="5" borderId="2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wrapText="1"/>
    </xf>
    <xf numFmtId="0" fontId="4" fillId="5" borderId="7" xfId="0" applyFont="1" applyFill="1" applyBorder="1" applyAlignment="1">
      <alignment horizontal="right" wrapText="1"/>
    </xf>
    <xf numFmtId="0" fontId="4" fillId="5" borderId="9" xfId="0" applyFont="1" applyFill="1" applyBorder="1" applyAlignment="1">
      <alignment wrapText="1"/>
    </xf>
    <xf numFmtId="0" fontId="4" fillId="5" borderId="2" xfId="0" quotePrefix="1" applyFont="1" applyFill="1" applyBorder="1" applyAlignment="1">
      <alignment horizontal="right" wrapText="1"/>
    </xf>
    <xf numFmtId="0" fontId="4" fillId="6" borderId="7" xfId="0" applyFont="1" applyFill="1" applyBorder="1" applyAlignment="1">
      <alignment horizontal="right" wrapText="1"/>
    </xf>
    <xf numFmtId="0" fontId="4" fillId="6" borderId="4" xfId="0" applyFont="1" applyFill="1" applyBorder="1" applyAlignment="1">
      <alignment horizontal="right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wrapText="1"/>
    </xf>
    <xf numFmtId="14" fontId="4" fillId="6" borderId="12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wrapText="1"/>
    </xf>
    <xf numFmtId="0" fontId="4" fillId="6" borderId="4" xfId="0" applyFont="1" applyFill="1" applyBorder="1" applyAlignment="1">
      <alignment vertical="center"/>
    </xf>
    <xf numFmtId="14" fontId="4" fillId="6" borderId="4" xfId="0" applyNumberFormat="1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4" fillId="6" borderId="14" xfId="0" applyFont="1" applyFill="1" applyBorder="1" applyAlignment="1">
      <alignment wrapText="1"/>
    </xf>
    <xf numFmtId="0" fontId="4" fillId="6" borderId="5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4" fillId="6" borderId="4" xfId="0" quotePrefix="1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hatlt\AppData\Local\Temp\Zalo%20Temp\TempDownloads\Inter%20l&#234;n%20order%202010%20(1).xlsx" TargetMode="External"/><Relationship Id="rId1" Type="http://schemas.openxmlformats.org/officeDocument/2006/relationships/externalLinkPath" Target="/Users/Nhatlt/AppData/Local/Temp/Zalo%20Temp/TempDownloads/Inter%20l&#234;n%20order%20201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umdecor"/>
    </sheetNames>
    <sheetDataSet>
      <sheetData sheetId="0" refreshError="1"/>
      <sheetData sheetId="1">
        <row r="2">
          <cell r="W2" t="str">
            <v>CA</v>
          </cell>
        </row>
        <row r="3">
          <cell r="W3" t="str">
            <v>MO</v>
          </cell>
        </row>
        <row r="4">
          <cell r="W4" t="str">
            <v>NH</v>
          </cell>
        </row>
        <row r="5">
          <cell r="W5" t="str">
            <v>VIC</v>
          </cell>
        </row>
        <row r="6">
          <cell r="W6" t="str">
            <v>PA</v>
          </cell>
        </row>
        <row r="7">
          <cell r="W7" t="str">
            <v>VIC</v>
          </cell>
        </row>
        <row r="8">
          <cell r="W8" t="str">
            <v>NSW</v>
          </cell>
        </row>
        <row r="9">
          <cell r="W9" t="str">
            <v>FL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80" zoomScaleNormal="80" workbookViewId="0">
      <selection activeCell="E11" sqref="E11"/>
    </sheetView>
  </sheetViews>
  <sheetFormatPr defaultColWidth="20.28515625" defaultRowHeight="15" x14ac:dyDescent="0.25"/>
  <cols>
    <col min="1" max="1" width="22.28515625" style="3" customWidth="1"/>
    <col min="2" max="2" width="23.85546875" style="3" customWidth="1"/>
    <col min="3" max="3" width="24.28515625" style="3" customWidth="1"/>
    <col min="4" max="4" width="11.85546875" style="3" customWidth="1"/>
    <col min="5" max="5" width="20.28515625" style="3"/>
    <col min="6" max="6" width="33.5703125" style="3" customWidth="1"/>
    <col min="7" max="11" width="20.28515625" style="3"/>
    <col min="12" max="12" width="20.28515625" style="5"/>
    <col min="13" max="16384" width="20.28515625" style="3"/>
  </cols>
  <sheetData>
    <row r="1" spans="1:13" ht="16.5" thickBot="1" x14ac:dyDescent="0.3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2" t="s">
        <v>0</v>
      </c>
    </row>
    <row r="2" spans="1:13" ht="30.75" thickBot="1" x14ac:dyDescent="0.3">
      <c r="A2" s="54" t="s">
        <v>134</v>
      </c>
      <c r="B2" s="60" t="s">
        <v>12</v>
      </c>
      <c r="C2" s="4" t="s">
        <v>144</v>
      </c>
      <c r="D2" s="3">
        <f>Chumdecor!F5</f>
        <v>1</v>
      </c>
      <c r="E2" s="4" t="str">
        <f>Chumdecor!E5</f>
        <v>Christine Banihashemi</v>
      </c>
      <c r="F2" s="55" t="s">
        <v>88</v>
      </c>
      <c r="G2" s="56"/>
      <c r="H2" s="55" t="s">
        <v>89</v>
      </c>
      <c r="I2" s="57">
        <v>95746</v>
      </c>
      <c r="J2" s="59" t="str">
        <f>[1]Chumdecor!W2</f>
        <v>CA</v>
      </c>
      <c r="K2" s="4" t="str">
        <f>Chumdecor!Y5</f>
        <v>United States</v>
      </c>
      <c r="L2" s="11"/>
      <c r="M2" s="5"/>
    </row>
    <row r="3" spans="1:13" ht="15.75" thickBot="1" x14ac:dyDescent="0.3">
      <c r="A3" s="54" t="s">
        <v>135</v>
      </c>
      <c r="B3" s="60" t="s">
        <v>12</v>
      </c>
      <c r="C3" s="4" t="s">
        <v>144</v>
      </c>
      <c r="D3" s="3">
        <f>Chumdecor!F6</f>
        <v>1</v>
      </c>
      <c r="E3" s="4" t="str">
        <f>Chumdecor!E6</f>
        <v>Jordyn Navarro</v>
      </c>
      <c r="F3" s="55" t="s">
        <v>92</v>
      </c>
      <c r="G3" s="56"/>
      <c r="H3" s="55" t="s">
        <v>93</v>
      </c>
      <c r="I3" s="57">
        <v>64089</v>
      </c>
      <c r="J3" s="59" t="str">
        <f>[1]Chumdecor!W3</f>
        <v>MO</v>
      </c>
      <c r="K3" s="4" t="str">
        <f>Chumdecor!Y6</f>
        <v>United States</v>
      </c>
      <c r="L3" s="11"/>
      <c r="M3" s="5"/>
    </row>
    <row r="4" spans="1:13" ht="15.75" thickBot="1" x14ac:dyDescent="0.3">
      <c r="A4" s="54" t="s">
        <v>136</v>
      </c>
      <c r="B4" s="60" t="s">
        <v>12</v>
      </c>
      <c r="C4" s="4" t="s">
        <v>144</v>
      </c>
      <c r="D4" s="3">
        <f>Chumdecor!F7</f>
        <v>1</v>
      </c>
      <c r="E4" s="4" t="str">
        <f>Chumdecor!E7</f>
        <v>Miosoti Jerez Lara</v>
      </c>
      <c r="F4" s="55" t="s">
        <v>96</v>
      </c>
      <c r="G4" s="56"/>
      <c r="H4" s="55" t="s">
        <v>97</v>
      </c>
      <c r="I4" s="57">
        <v>3301</v>
      </c>
      <c r="J4" s="59" t="str">
        <f>[1]Chumdecor!W4</f>
        <v>NH</v>
      </c>
      <c r="K4" s="4" t="str">
        <f>Chumdecor!Y7</f>
        <v>United States</v>
      </c>
      <c r="L4" s="11"/>
      <c r="M4" s="5"/>
    </row>
    <row r="5" spans="1:13" ht="15.75" thickBot="1" x14ac:dyDescent="0.3">
      <c r="A5" s="54" t="s">
        <v>137</v>
      </c>
      <c r="B5" s="60" t="s">
        <v>12</v>
      </c>
      <c r="C5" s="4" t="s">
        <v>144</v>
      </c>
      <c r="D5" s="3">
        <f>Chumdecor!F8</f>
        <v>1</v>
      </c>
      <c r="E5" s="4" t="str">
        <f>Chumdecor!E8</f>
        <v>Aaron Rickards</v>
      </c>
      <c r="F5" s="55" t="s">
        <v>103</v>
      </c>
      <c r="G5" s="56"/>
      <c r="H5" s="55" t="s">
        <v>104</v>
      </c>
      <c r="I5" s="57">
        <v>3818</v>
      </c>
      <c r="J5" s="59" t="str">
        <f>[1]Chumdecor!W5</f>
        <v>VIC</v>
      </c>
      <c r="K5" s="4" t="str">
        <f>Chumdecor!Y8</f>
        <v>Australia</v>
      </c>
      <c r="L5" s="11"/>
      <c r="M5" s="5"/>
    </row>
    <row r="6" spans="1:13" ht="30.75" thickBot="1" x14ac:dyDescent="0.3">
      <c r="A6" s="54" t="s">
        <v>138</v>
      </c>
      <c r="B6" s="60" t="s">
        <v>12</v>
      </c>
      <c r="C6" s="4" t="s">
        <v>144</v>
      </c>
      <c r="D6" s="3">
        <f>Chumdecor!F9</f>
        <v>1</v>
      </c>
      <c r="E6" s="4" t="str">
        <f>Chumdecor!E9</f>
        <v>India Krug</v>
      </c>
      <c r="F6" s="55" t="s">
        <v>110</v>
      </c>
      <c r="G6" s="56"/>
      <c r="H6" s="55" t="s">
        <v>112</v>
      </c>
      <c r="I6" s="57" t="s">
        <v>114</v>
      </c>
      <c r="J6" s="59" t="str">
        <f>[1]Chumdecor!W6</f>
        <v>PA</v>
      </c>
      <c r="K6" s="4" t="str">
        <f>Chumdecor!Y9</f>
        <v>United States</v>
      </c>
      <c r="L6" s="11"/>
    </row>
    <row r="7" spans="1:13" ht="30.75" thickBot="1" x14ac:dyDescent="0.3">
      <c r="A7" s="54" t="s">
        <v>139</v>
      </c>
      <c r="B7" s="60" t="s">
        <v>12</v>
      </c>
      <c r="C7" s="4" t="s">
        <v>144</v>
      </c>
      <c r="D7" s="3">
        <f>Chumdecor!F10</f>
        <v>1</v>
      </c>
      <c r="E7" s="4" t="str">
        <f>Chumdecor!E10</f>
        <v>Ruby Victoria Rose Edwards</v>
      </c>
      <c r="F7" s="58" t="s">
        <v>143</v>
      </c>
      <c r="G7" s="56"/>
      <c r="H7" s="55" t="s">
        <v>119</v>
      </c>
      <c r="I7" s="57">
        <v>3032</v>
      </c>
      <c r="J7" s="59" t="str">
        <f>[1]Chumdecor!W7</f>
        <v>VIC</v>
      </c>
      <c r="K7" s="4" t="str">
        <f>Chumdecor!Y10</f>
        <v>Australia</v>
      </c>
      <c r="L7" s="11"/>
    </row>
    <row r="8" spans="1:13" ht="30.75" thickBot="1" x14ac:dyDescent="0.3">
      <c r="A8" s="54" t="s">
        <v>140</v>
      </c>
      <c r="B8" s="60" t="s">
        <v>12</v>
      </c>
      <c r="C8" s="4" t="s">
        <v>144</v>
      </c>
      <c r="D8" s="3">
        <f>Chumdecor!F11</f>
        <v>1</v>
      </c>
      <c r="E8" s="4" t="str">
        <f>Chumdecor!E11</f>
        <v>Mervette Rosewell</v>
      </c>
      <c r="F8" s="58" t="s">
        <v>142</v>
      </c>
      <c r="G8" s="56"/>
      <c r="H8" s="55" t="s">
        <v>124</v>
      </c>
      <c r="I8" s="57">
        <v>2261</v>
      </c>
      <c r="J8" s="59" t="str">
        <f>[1]Chumdecor!W8</f>
        <v>NSW</v>
      </c>
      <c r="K8" s="4" t="str">
        <f>Chumdecor!Y11</f>
        <v>Australia</v>
      </c>
      <c r="L8" s="11"/>
    </row>
    <row r="9" spans="1:13" ht="30.75" thickBot="1" x14ac:dyDescent="0.3">
      <c r="A9" s="54" t="s">
        <v>141</v>
      </c>
      <c r="B9" s="60" t="s">
        <v>12</v>
      </c>
      <c r="C9" s="4" t="s">
        <v>144</v>
      </c>
      <c r="D9" s="3">
        <f>Chumdecor!F12</f>
        <v>1</v>
      </c>
      <c r="E9" s="4" t="str">
        <f>Chumdecor!E12</f>
        <v>Stephanie Younes</v>
      </c>
      <c r="F9" s="55" t="s">
        <v>129</v>
      </c>
      <c r="G9" s="56"/>
      <c r="H9" s="55" t="s">
        <v>130</v>
      </c>
      <c r="I9" s="57">
        <v>34786</v>
      </c>
      <c r="J9" s="59" t="str">
        <f>[1]Chumdecor!W9</f>
        <v>FL</v>
      </c>
      <c r="K9" s="4" t="str">
        <f>Chumdecor!Y12</f>
        <v>United States</v>
      </c>
      <c r="L9" s="11"/>
    </row>
    <row r="10" spans="1:13" x14ac:dyDescent="0.25">
      <c r="C10" s="6"/>
      <c r="E10" s="6"/>
      <c r="F10" s="6"/>
      <c r="G10" s="6"/>
      <c r="H10" s="6"/>
      <c r="J10" s="6"/>
    </row>
    <row r="11" spans="1:13" x14ac:dyDescent="0.25">
      <c r="C11" s="6"/>
      <c r="E11" s="6"/>
      <c r="F11" s="6"/>
      <c r="G11" s="6"/>
      <c r="H11" s="6"/>
      <c r="I11" s="6"/>
      <c r="J11" s="6"/>
    </row>
    <row r="12" spans="1:13" x14ac:dyDescent="0.25">
      <c r="C12" s="6"/>
      <c r="E12" s="6"/>
      <c r="F12" s="6"/>
      <c r="G12" s="6"/>
      <c r="H12" s="6"/>
      <c r="I12" s="6"/>
      <c r="J12" s="6"/>
    </row>
    <row r="13" spans="1:13" x14ac:dyDescent="0.25">
      <c r="C13" s="6"/>
      <c r="E13" s="6"/>
      <c r="F13" s="6"/>
      <c r="G13" s="6"/>
      <c r="H13" s="6"/>
      <c r="I13" s="6"/>
      <c r="J13" s="6"/>
    </row>
    <row r="14" spans="1:13" x14ac:dyDescent="0.25">
      <c r="C14" s="6"/>
      <c r="E14" s="6"/>
      <c r="F14" s="6"/>
      <c r="G14" s="6"/>
      <c r="H14" s="6"/>
      <c r="I14" s="6"/>
      <c r="J14" s="6"/>
    </row>
    <row r="15" spans="1:13" x14ac:dyDescent="0.25">
      <c r="C15" s="6"/>
      <c r="E15" s="6"/>
      <c r="F15" s="6"/>
      <c r="G15" s="6"/>
      <c r="H15" s="6"/>
      <c r="I15" s="6"/>
      <c r="J15" s="6"/>
    </row>
    <row r="16" spans="1:13" x14ac:dyDescent="0.25">
      <c r="C16" s="6"/>
      <c r="E16" s="6"/>
      <c r="F16" s="6"/>
      <c r="G16" s="6"/>
      <c r="H16" s="6"/>
      <c r="I16" s="6"/>
      <c r="J16" s="6"/>
    </row>
    <row r="17" spans="3:10" x14ac:dyDescent="0.25">
      <c r="C17" s="6"/>
      <c r="E17" s="6"/>
      <c r="F17" s="6"/>
      <c r="G17" s="6"/>
      <c r="H17" s="6"/>
      <c r="I17" s="6"/>
      <c r="J17" s="6"/>
    </row>
    <row r="18" spans="3:10" x14ac:dyDescent="0.25">
      <c r="C18" s="6"/>
      <c r="E18" s="6"/>
      <c r="F18" s="6"/>
      <c r="G18" s="6"/>
      <c r="H18" s="6"/>
      <c r="I18" s="6"/>
      <c r="J18" s="6"/>
    </row>
    <row r="19" spans="3:10" x14ac:dyDescent="0.25">
      <c r="C19" s="6"/>
      <c r="E19" s="6"/>
      <c r="F19" s="6"/>
      <c r="G19" s="6"/>
      <c r="H19" s="6"/>
      <c r="I19" s="6"/>
      <c r="J19" s="6"/>
    </row>
    <row r="20" spans="3:10" x14ac:dyDescent="0.25">
      <c r="C20" s="6"/>
      <c r="E20" s="6"/>
      <c r="F20" s="6"/>
      <c r="G20" s="6"/>
      <c r="H20" s="6"/>
      <c r="I20" s="6"/>
      <c r="J20" s="6"/>
    </row>
    <row r="21" spans="3:10" x14ac:dyDescent="0.25">
      <c r="C21" s="6"/>
      <c r="E21" s="6"/>
      <c r="F21" s="6"/>
      <c r="G21" s="6"/>
      <c r="H21" s="6"/>
      <c r="I21" s="6"/>
      <c r="J21" s="6"/>
    </row>
    <row r="22" spans="3:10" x14ac:dyDescent="0.25">
      <c r="C22" s="6"/>
      <c r="E22" s="6"/>
      <c r="F22" s="6"/>
      <c r="G22" s="6"/>
      <c r="H22" s="6"/>
      <c r="I22" s="6"/>
      <c r="J22" s="6"/>
    </row>
    <row r="23" spans="3:10" x14ac:dyDescent="0.25">
      <c r="C23" s="6"/>
      <c r="E23" s="6"/>
      <c r="F23" s="6"/>
      <c r="G23" s="6"/>
      <c r="H23" s="6"/>
      <c r="I23" s="6"/>
      <c r="J23" s="6"/>
    </row>
  </sheetData>
  <autoFilter ref="A1:L1" xr:uid="{00000000-0009-0000-0000-000000000000}"/>
  <phoneticPr fontId="8" type="noConversion"/>
  <conditionalFormatting sqref="E10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"/>
  <sheetViews>
    <sheetView topLeftCell="G10" workbookViewId="0">
      <selection activeCell="X8" sqref="X8"/>
    </sheetView>
  </sheetViews>
  <sheetFormatPr defaultRowHeight="15" x14ac:dyDescent="0.25"/>
  <cols>
    <col min="1" max="1" width="16.140625" customWidth="1"/>
    <col min="2" max="2" width="15.140625" customWidth="1"/>
    <col min="3" max="3" width="14" customWidth="1"/>
    <col min="5" max="5" width="21.140625" customWidth="1"/>
    <col min="20" max="20" width="17.7109375" customWidth="1"/>
    <col min="21" max="21" width="17.5703125" customWidth="1"/>
  </cols>
  <sheetData>
    <row r="1" spans="1:40" ht="15.75" thickBot="1" x14ac:dyDescent="0.3">
      <c r="A1" s="9" t="s">
        <v>16</v>
      </c>
      <c r="B1" s="7" t="s">
        <v>13</v>
      </c>
      <c r="C1" s="8" t="s">
        <v>14</v>
      </c>
      <c r="D1" s="8" t="s">
        <v>15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  <c r="AH1" s="8" t="s">
        <v>46</v>
      </c>
    </row>
    <row r="2" spans="1:40" ht="15.75" thickBot="1" x14ac:dyDescent="0.3">
      <c r="A2" s="10">
        <v>45947</v>
      </c>
      <c r="B2" s="12">
        <v>45947</v>
      </c>
      <c r="C2" s="13" t="s">
        <v>47</v>
      </c>
      <c r="D2" s="13" t="s">
        <v>48</v>
      </c>
      <c r="E2" s="14" t="s">
        <v>49</v>
      </c>
      <c r="F2" s="15">
        <v>1</v>
      </c>
      <c r="G2" s="13" t="s">
        <v>50</v>
      </c>
      <c r="H2" s="13" t="s">
        <v>51</v>
      </c>
      <c r="I2" s="15">
        <v>55.99</v>
      </c>
      <c r="J2" s="15">
        <v>0</v>
      </c>
      <c r="K2" s="15">
        <v>55</v>
      </c>
      <c r="L2" s="15">
        <v>0</v>
      </c>
      <c r="M2" s="15">
        <v>111.98</v>
      </c>
      <c r="N2" s="13" t="s">
        <v>52</v>
      </c>
      <c r="O2" s="16">
        <v>4770000000</v>
      </c>
      <c r="P2" s="16">
        <v>1780000000</v>
      </c>
      <c r="Q2" s="17" t="s">
        <v>53</v>
      </c>
      <c r="R2" s="13"/>
      <c r="S2" s="13" t="s">
        <v>49</v>
      </c>
      <c r="T2" s="26" t="s">
        <v>54</v>
      </c>
      <c r="U2" s="27"/>
      <c r="V2" s="13" t="s">
        <v>55</v>
      </c>
      <c r="W2" s="13" t="s">
        <v>56</v>
      </c>
      <c r="X2" s="15">
        <v>59000</v>
      </c>
      <c r="Y2" s="13" t="s">
        <v>57</v>
      </c>
      <c r="Z2" s="15">
        <v>3832157327</v>
      </c>
      <c r="AA2" s="13" t="s">
        <v>58</v>
      </c>
      <c r="AB2" s="13" t="s">
        <v>59</v>
      </c>
      <c r="AC2" s="13" t="s">
        <v>60</v>
      </c>
      <c r="AD2" s="13" t="s">
        <v>61</v>
      </c>
      <c r="AE2" s="13"/>
      <c r="AF2" s="13"/>
      <c r="AG2" s="15">
        <v>0</v>
      </c>
      <c r="AH2" s="18" t="s">
        <v>62</v>
      </c>
    </row>
    <row r="3" spans="1:40" ht="15.75" thickBot="1" x14ac:dyDescent="0.3">
      <c r="A3" s="10">
        <v>45947</v>
      </c>
      <c r="B3" s="19">
        <v>45947</v>
      </c>
      <c r="C3" s="20" t="s">
        <v>47</v>
      </c>
      <c r="D3" s="20" t="s">
        <v>63</v>
      </c>
      <c r="E3" s="21" t="s">
        <v>64</v>
      </c>
      <c r="F3" s="22">
        <v>1</v>
      </c>
      <c r="G3" s="20" t="s">
        <v>50</v>
      </c>
      <c r="H3" s="20" t="s">
        <v>51</v>
      </c>
      <c r="I3" s="22">
        <v>74.989999999999995</v>
      </c>
      <c r="J3" s="22">
        <v>0</v>
      </c>
      <c r="K3" s="22">
        <v>0</v>
      </c>
      <c r="L3" s="22">
        <v>0</v>
      </c>
      <c r="M3" s="22">
        <v>149.97999999999999</v>
      </c>
      <c r="N3" s="20" t="s">
        <v>52</v>
      </c>
      <c r="O3" s="23">
        <v>4780000000</v>
      </c>
      <c r="P3" s="23">
        <v>1880000000</v>
      </c>
      <c r="Q3" s="24" t="s">
        <v>53</v>
      </c>
      <c r="R3" s="20"/>
      <c r="S3" s="20" t="s">
        <v>64</v>
      </c>
      <c r="T3" s="26" t="s">
        <v>65</v>
      </c>
      <c r="U3" s="27"/>
      <c r="V3" s="20" t="s">
        <v>66</v>
      </c>
      <c r="W3" s="20" t="s">
        <v>67</v>
      </c>
      <c r="X3" s="20" t="s">
        <v>68</v>
      </c>
      <c r="Y3" s="20" t="s">
        <v>69</v>
      </c>
      <c r="Z3" s="22">
        <v>3831484853</v>
      </c>
      <c r="AA3" s="20" t="s">
        <v>70</v>
      </c>
      <c r="AB3" s="20" t="s">
        <v>59</v>
      </c>
      <c r="AC3" s="20" t="s">
        <v>60</v>
      </c>
      <c r="AD3" s="20" t="s">
        <v>61</v>
      </c>
      <c r="AE3" s="20"/>
      <c r="AF3" s="20"/>
      <c r="AG3" s="22">
        <v>0</v>
      </c>
      <c r="AH3" s="25" t="s">
        <v>71</v>
      </c>
    </row>
    <row r="4" spans="1:40" ht="105.75" thickBot="1" x14ac:dyDescent="0.3">
      <c r="A4" s="10">
        <v>45947</v>
      </c>
      <c r="B4" s="19">
        <v>45947</v>
      </c>
      <c r="E4" s="28" t="s">
        <v>72</v>
      </c>
      <c r="F4" s="29">
        <v>1</v>
      </c>
      <c r="G4" s="30" t="s">
        <v>50</v>
      </c>
      <c r="H4" s="30" t="s">
        <v>51</v>
      </c>
      <c r="I4" s="29">
        <v>49.99</v>
      </c>
      <c r="J4" s="29">
        <v>0</v>
      </c>
      <c r="K4" s="29">
        <v>0</v>
      </c>
      <c r="L4" s="29">
        <v>0</v>
      </c>
      <c r="M4" s="29">
        <v>99.98</v>
      </c>
      <c r="N4" s="30" t="s">
        <v>52</v>
      </c>
      <c r="O4" s="31">
        <v>4770000000</v>
      </c>
      <c r="P4" s="31">
        <v>1670000000</v>
      </c>
      <c r="Q4" s="32" t="s">
        <v>53</v>
      </c>
      <c r="R4" s="30"/>
      <c r="S4" s="30" t="s">
        <v>72</v>
      </c>
      <c r="T4" s="30" t="s">
        <v>73</v>
      </c>
      <c r="U4" s="30" t="s">
        <v>74</v>
      </c>
      <c r="V4" s="30" t="s">
        <v>75</v>
      </c>
      <c r="W4" s="32" t="s">
        <v>76</v>
      </c>
      <c r="X4" s="36" t="s">
        <v>79</v>
      </c>
      <c r="Y4" s="30" t="s">
        <v>69</v>
      </c>
      <c r="Z4" s="29">
        <v>3829777154</v>
      </c>
      <c r="AA4" s="33" t="s">
        <v>77</v>
      </c>
      <c r="AB4" s="33" t="s">
        <v>59</v>
      </c>
      <c r="AC4" s="33" t="s">
        <v>60</v>
      </c>
      <c r="AD4" s="33" t="s">
        <v>61</v>
      </c>
      <c r="AE4" s="33"/>
      <c r="AF4" s="33"/>
      <c r="AG4" s="34">
        <v>0</v>
      </c>
      <c r="AH4" s="35" t="s">
        <v>78</v>
      </c>
    </row>
    <row r="5" spans="1:40" ht="60.75" thickBot="1" x14ac:dyDescent="0.3">
      <c r="A5" s="39">
        <v>45947</v>
      </c>
      <c r="B5" s="40" t="s">
        <v>86</v>
      </c>
      <c r="C5" s="41"/>
      <c r="D5" s="41"/>
      <c r="E5" s="41" t="s">
        <v>87</v>
      </c>
      <c r="F5" s="40">
        <v>1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 t="s">
        <v>87</v>
      </c>
      <c r="T5" s="41" t="s">
        <v>88</v>
      </c>
      <c r="U5" s="41"/>
      <c r="V5" s="41" t="s">
        <v>89</v>
      </c>
      <c r="W5" s="40" t="s">
        <v>90</v>
      </c>
      <c r="X5" s="40">
        <v>95746</v>
      </c>
      <c r="Y5" s="41" t="s">
        <v>69</v>
      </c>
      <c r="Z5" s="37">
        <v>3826836476</v>
      </c>
      <c r="AA5" s="41"/>
      <c r="AB5" s="41"/>
      <c r="AC5" s="41"/>
      <c r="AD5" s="41"/>
      <c r="AE5" s="41"/>
      <c r="AF5" s="41"/>
      <c r="AG5" s="41"/>
      <c r="AH5" s="47" t="s">
        <v>80</v>
      </c>
      <c r="AI5" s="51"/>
      <c r="AJ5" s="51"/>
      <c r="AK5" s="52"/>
      <c r="AL5" s="51"/>
      <c r="AM5" s="51"/>
      <c r="AN5" s="49"/>
    </row>
    <row r="6" spans="1:40" ht="60.75" thickBot="1" x14ac:dyDescent="0.3">
      <c r="A6" s="42">
        <v>45950</v>
      </c>
      <c r="B6" s="43" t="s">
        <v>86</v>
      </c>
      <c r="C6" s="44"/>
      <c r="D6" s="44"/>
      <c r="E6" s="44" t="s">
        <v>91</v>
      </c>
      <c r="F6" s="43">
        <v>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 t="s">
        <v>91</v>
      </c>
      <c r="T6" s="44" t="s">
        <v>92</v>
      </c>
      <c r="U6" s="44"/>
      <c r="V6" s="44" t="s">
        <v>93</v>
      </c>
      <c r="W6" s="43" t="s">
        <v>94</v>
      </c>
      <c r="X6" s="43">
        <v>64089</v>
      </c>
      <c r="Y6" s="44" t="s">
        <v>69</v>
      </c>
      <c r="Z6" s="38">
        <v>3830794506</v>
      </c>
      <c r="AA6" s="44"/>
      <c r="AB6" s="44"/>
      <c r="AC6" s="44"/>
      <c r="AD6" s="44"/>
      <c r="AE6" s="44"/>
      <c r="AF6" s="44"/>
      <c r="AG6" s="44"/>
      <c r="AH6" s="48" t="s">
        <v>81</v>
      </c>
      <c r="AI6" s="51"/>
      <c r="AJ6" s="51"/>
      <c r="AK6" s="52"/>
      <c r="AL6" s="51"/>
      <c r="AM6" s="51"/>
      <c r="AN6" s="50"/>
    </row>
    <row r="7" spans="1:40" ht="45.75" thickBot="1" x14ac:dyDescent="0.3">
      <c r="A7" s="42">
        <v>45950</v>
      </c>
      <c r="B7" s="43" t="s">
        <v>86</v>
      </c>
      <c r="C7" s="44"/>
      <c r="D7" s="44"/>
      <c r="E7" s="44" t="s">
        <v>95</v>
      </c>
      <c r="F7" s="43">
        <v>1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 t="s">
        <v>95</v>
      </c>
      <c r="T7" s="44" t="s">
        <v>96</v>
      </c>
      <c r="U7" s="44"/>
      <c r="V7" s="44" t="s">
        <v>97</v>
      </c>
      <c r="W7" s="43" t="s">
        <v>98</v>
      </c>
      <c r="X7" s="53" t="s">
        <v>133</v>
      </c>
      <c r="Y7" s="44" t="s">
        <v>69</v>
      </c>
      <c r="Z7" s="38">
        <v>3831344546</v>
      </c>
      <c r="AA7" s="44"/>
      <c r="AB7" s="44"/>
      <c r="AC7" s="44"/>
      <c r="AD7" s="44"/>
      <c r="AE7" s="44"/>
      <c r="AF7" s="44"/>
      <c r="AG7" s="44"/>
      <c r="AH7" s="48" t="s">
        <v>82</v>
      </c>
      <c r="AI7" s="51"/>
      <c r="AJ7" s="51"/>
      <c r="AK7" s="52"/>
      <c r="AL7" s="51"/>
      <c r="AM7" s="51"/>
      <c r="AN7" s="50"/>
    </row>
    <row r="8" spans="1:40" ht="105.75" thickBot="1" x14ac:dyDescent="0.3">
      <c r="A8" s="42">
        <v>45949</v>
      </c>
      <c r="B8" s="43" t="s">
        <v>86</v>
      </c>
      <c r="C8" s="45" t="s">
        <v>99</v>
      </c>
      <c r="D8" s="44"/>
      <c r="E8" s="44" t="s">
        <v>102</v>
      </c>
      <c r="F8" s="43">
        <v>1</v>
      </c>
      <c r="G8" s="44" t="s">
        <v>100</v>
      </c>
      <c r="H8" s="38" t="s">
        <v>101</v>
      </c>
      <c r="I8" s="38">
        <v>64.989999999999995</v>
      </c>
      <c r="J8" s="38">
        <v>0</v>
      </c>
      <c r="K8" s="38">
        <v>60</v>
      </c>
      <c r="L8" s="38">
        <v>0</v>
      </c>
      <c r="M8" s="44">
        <v>129.97999999999999</v>
      </c>
      <c r="N8" s="38" t="s">
        <v>52</v>
      </c>
      <c r="O8" s="38">
        <v>4785331673</v>
      </c>
      <c r="P8" s="43">
        <v>1709181301</v>
      </c>
      <c r="Q8" s="46">
        <v>45949</v>
      </c>
      <c r="R8" s="44"/>
      <c r="S8" s="44" t="s">
        <v>102</v>
      </c>
      <c r="T8" s="44" t="s">
        <v>103</v>
      </c>
      <c r="U8" s="44"/>
      <c r="V8" s="44" t="s">
        <v>104</v>
      </c>
      <c r="W8" s="43" t="s">
        <v>105</v>
      </c>
      <c r="X8" s="43">
        <v>3818</v>
      </c>
      <c r="Y8" s="44" t="s">
        <v>106</v>
      </c>
      <c r="Z8" s="38">
        <v>3832024462</v>
      </c>
      <c r="AA8" s="44" t="s">
        <v>107</v>
      </c>
      <c r="AB8" s="44" t="s">
        <v>59</v>
      </c>
      <c r="AC8" s="44" t="s">
        <v>60</v>
      </c>
      <c r="AD8" s="44" t="s">
        <v>61</v>
      </c>
      <c r="AE8" s="44"/>
      <c r="AF8" s="44"/>
      <c r="AG8" s="38">
        <v>0</v>
      </c>
      <c r="AH8" s="48" t="s">
        <v>83</v>
      </c>
      <c r="AI8" s="51"/>
      <c r="AJ8" s="51"/>
      <c r="AK8" s="52"/>
      <c r="AL8" s="51"/>
      <c r="AM8" s="51"/>
      <c r="AN8" s="50"/>
    </row>
    <row r="9" spans="1:40" ht="180.75" thickBot="1" x14ac:dyDescent="0.3">
      <c r="A9" s="42">
        <v>45949</v>
      </c>
      <c r="B9" s="43" t="s">
        <v>86</v>
      </c>
      <c r="C9" s="44" t="s">
        <v>47</v>
      </c>
      <c r="D9" s="44" t="s">
        <v>108</v>
      </c>
      <c r="E9" s="44" t="s">
        <v>109</v>
      </c>
      <c r="F9" s="43">
        <v>1</v>
      </c>
      <c r="G9" s="44" t="s">
        <v>100</v>
      </c>
      <c r="H9" s="38" t="s">
        <v>101</v>
      </c>
      <c r="I9" s="38">
        <v>44.99</v>
      </c>
      <c r="J9" s="38">
        <v>0</v>
      </c>
      <c r="K9" s="38">
        <v>0</v>
      </c>
      <c r="L9" s="38">
        <v>0</v>
      </c>
      <c r="M9" s="44">
        <v>89.98</v>
      </c>
      <c r="N9" s="38" t="s">
        <v>52</v>
      </c>
      <c r="O9" s="38">
        <v>4785108549</v>
      </c>
      <c r="P9" s="43">
        <v>1782853472</v>
      </c>
      <c r="Q9" s="46">
        <v>45949</v>
      </c>
      <c r="R9" s="44"/>
      <c r="S9" s="44" t="s">
        <v>109</v>
      </c>
      <c r="T9" s="44" t="s">
        <v>110</v>
      </c>
      <c r="U9" s="44" t="s">
        <v>111</v>
      </c>
      <c r="V9" s="44" t="s">
        <v>112</v>
      </c>
      <c r="W9" s="43" t="s">
        <v>113</v>
      </c>
      <c r="X9" s="43" t="s">
        <v>114</v>
      </c>
      <c r="Y9" s="44" t="s">
        <v>69</v>
      </c>
      <c r="Z9" s="38">
        <v>3831823324</v>
      </c>
      <c r="AA9" s="44" t="s">
        <v>115</v>
      </c>
      <c r="AB9" s="44" t="s">
        <v>59</v>
      </c>
      <c r="AC9" s="44" t="s">
        <v>60</v>
      </c>
      <c r="AD9" s="44" t="s">
        <v>61</v>
      </c>
      <c r="AE9" s="44"/>
      <c r="AF9" s="44"/>
      <c r="AG9" s="38">
        <v>0</v>
      </c>
      <c r="AH9" s="48" t="s">
        <v>84</v>
      </c>
      <c r="AI9" s="51"/>
      <c r="AJ9" s="51"/>
      <c r="AK9" s="52"/>
      <c r="AL9" s="51"/>
      <c r="AM9" s="51"/>
      <c r="AN9" s="50"/>
    </row>
    <row r="10" spans="1:40" ht="180.75" thickBot="1" x14ac:dyDescent="0.3">
      <c r="A10" s="42">
        <v>45948</v>
      </c>
      <c r="B10" s="43" t="s">
        <v>86</v>
      </c>
      <c r="C10" s="44" t="s">
        <v>47</v>
      </c>
      <c r="D10" s="44" t="s">
        <v>116</v>
      </c>
      <c r="E10" s="44" t="s">
        <v>117</v>
      </c>
      <c r="F10" s="43">
        <v>1</v>
      </c>
      <c r="G10" s="44" t="s">
        <v>50</v>
      </c>
      <c r="H10" s="38" t="s">
        <v>51</v>
      </c>
      <c r="I10" s="38">
        <v>49.99</v>
      </c>
      <c r="J10" s="38">
        <v>0</v>
      </c>
      <c r="K10" s="38">
        <v>50</v>
      </c>
      <c r="L10" s="38">
        <v>0</v>
      </c>
      <c r="M10" s="44">
        <v>99.98</v>
      </c>
      <c r="N10" s="38" t="s">
        <v>52</v>
      </c>
      <c r="O10" s="38">
        <v>4774535968</v>
      </c>
      <c r="P10" s="43">
        <v>1782853472</v>
      </c>
      <c r="Q10" s="46">
        <v>45948</v>
      </c>
      <c r="R10" s="44"/>
      <c r="S10" s="44" t="s">
        <v>117</v>
      </c>
      <c r="T10" s="44" t="s">
        <v>118</v>
      </c>
      <c r="U10" s="38">
        <v>9</v>
      </c>
      <c r="V10" s="44" t="s">
        <v>119</v>
      </c>
      <c r="W10" s="43" t="s">
        <v>105</v>
      </c>
      <c r="X10" s="43">
        <v>3032</v>
      </c>
      <c r="Y10" s="44" t="s">
        <v>106</v>
      </c>
      <c r="Z10" s="38">
        <v>3830256876</v>
      </c>
      <c r="AA10" s="44" t="s">
        <v>120</v>
      </c>
      <c r="AB10" s="44" t="s">
        <v>59</v>
      </c>
      <c r="AC10" s="44" t="s">
        <v>60</v>
      </c>
      <c r="AD10" s="44" t="s">
        <v>61</v>
      </c>
      <c r="AE10" s="44"/>
      <c r="AF10" s="44"/>
      <c r="AG10" s="38">
        <v>0</v>
      </c>
      <c r="AH10" s="48" t="s">
        <v>85</v>
      </c>
      <c r="AI10" s="51"/>
      <c r="AJ10" s="51"/>
      <c r="AK10" s="52"/>
      <c r="AL10" s="51"/>
      <c r="AM10" s="51"/>
      <c r="AN10" s="50"/>
    </row>
    <row r="11" spans="1:40" ht="180.75" thickBot="1" x14ac:dyDescent="0.3">
      <c r="A11" s="42">
        <v>45948</v>
      </c>
      <c r="B11" s="43" t="s">
        <v>86</v>
      </c>
      <c r="C11" s="44" t="s">
        <v>47</v>
      </c>
      <c r="D11" s="44" t="s">
        <v>121</v>
      </c>
      <c r="E11" s="44" t="s">
        <v>122</v>
      </c>
      <c r="F11" s="43">
        <v>1</v>
      </c>
      <c r="G11" s="44" t="s">
        <v>50</v>
      </c>
      <c r="H11" s="38" t="s">
        <v>51</v>
      </c>
      <c r="I11" s="38">
        <v>50</v>
      </c>
      <c r="J11" s="38">
        <v>0</v>
      </c>
      <c r="K11" s="38">
        <v>50</v>
      </c>
      <c r="L11" s="38">
        <v>0</v>
      </c>
      <c r="M11" s="38">
        <v>100</v>
      </c>
      <c r="N11" s="38" t="s">
        <v>52</v>
      </c>
      <c r="O11" s="38">
        <v>4783268233</v>
      </c>
      <c r="P11" s="43">
        <v>1782853472</v>
      </c>
      <c r="Q11" s="46">
        <v>45948</v>
      </c>
      <c r="R11" s="44"/>
      <c r="S11" s="44" t="s">
        <v>122</v>
      </c>
      <c r="T11" s="45" t="s">
        <v>123</v>
      </c>
      <c r="U11" s="44"/>
      <c r="V11" s="44" t="s">
        <v>124</v>
      </c>
      <c r="W11" s="43" t="s">
        <v>125</v>
      </c>
      <c r="X11" s="43">
        <v>2261</v>
      </c>
      <c r="Y11" s="44" t="s">
        <v>106</v>
      </c>
      <c r="Z11" s="38">
        <v>3832337461</v>
      </c>
      <c r="AA11" s="44" t="s">
        <v>126</v>
      </c>
      <c r="AB11" s="44" t="s">
        <v>59</v>
      </c>
      <c r="AC11" s="44" t="s">
        <v>60</v>
      </c>
      <c r="AD11" s="44" t="s">
        <v>61</v>
      </c>
      <c r="AE11" s="44"/>
      <c r="AF11" s="44"/>
      <c r="AG11" s="38">
        <v>0</v>
      </c>
      <c r="AH11" s="48" t="s">
        <v>84</v>
      </c>
      <c r="AI11" s="51"/>
      <c r="AJ11" s="51"/>
      <c r="AK11" s="52"/>
      <c r="AL11" s="51"/>
      <c r="AM11" s="51"/>
      <c r="AN11" s="50"/>
    </row>
    <row r="12" spans="1:40" ht="180.75" thickBot="1" x14ac:dyDescent="0.3">
      <c r="A12" s="42">
        <v>45948</v>
      </c>
      <c r="B12" s="43" t="s">
        <v>86</v>
      </c>
      <c r="C12" s="44" t="s">
        <v>47</v>
      </c>
      <c r="D12" s="44" t="s">
        <v>127</v>
      </c>
      <c r="E12" s="44" t="s">
        <v>128</v>
      </c>
      <c r="F12" s="43">
        <v>1</v>
      </c>
      <c r="G12" s="44" t="s">
        <v>50</v>
      </c>
      <c r="H12" s="38" t="s">
        <v>51</v>
      </c>
      <c r="I12" s="38">
        <v>50</v>
      </c>
      <c r="J12" s="38">
        <v>0</v>
      </c>
      <c r="K12" s="38">
        <v>0</v>
      </c>
      <c r="L12" s="38">
        <v>0</v>
      </c>
      <c r="M12" s="38">
        <v>100</v>
      </c>
      <c r="N12" s="38" t="s">
        <v>52</v>
      </c>
      <c r="O12" s="38">
        <v>4783226403</v>
      </c>
      <c r="P12" s="43">
        <v>1782853472</v>
      </c>
      <c r="Q12" s="46">
        <v>45948</v>
      </c>
      <c r="R12" s="44"/>
      <c r="S12" s="44" t="s">
        <v>128</v>
      </c>
      <c r="T12" s="44" t="s">
        <v>129</v>
      </c>
      <c r="U12" s="44"/>
      <c r="V12" s="44" t="s">
        <v>130</v>
      </c>
      <c r="W12" s="43" t="s">
        <v>131</v>
      </c>
      <c r="X12" s="43">
        <v>34786</v>
      </c>
      <c r="Y12" s="44" t="s">
        <v>69</v>
      </c>
      <c r="Z12" s="38">
        <v>3832306093</v>
      </c>
      <c r="AA12" s="44" t="s">
        <v>132</v>
      </c>
      <c r="AB12" s="44" t="s">
        <v>59</v>
      </c>
      <c r="AC12" s="44" t="s">
        <v>60</v>
      </c>
      <c r="AD12" s="44" t="s">
        <v>61</v>
      </c>
      <c r="AE12" s="44"/>
      <c r="AF12" s="44"/>
      <c r="AG12" s="38">
        <v>0</v>
      </c>
      <c r="AH12" s="48" t="s">
        <v>84</v>
      </c>
      <c r="AI12" s="51"/>
      <c r="AJ12" s="51"/>
      <c r="AK12" s="52"/>
      <c r="AL12" s="51"/>
      <c r="AM12" s="51"/>
      <c r="AN12" s="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2025-10-20T09:47:06Z</dcterms:modified>
</cp:coreProperties>
</file>