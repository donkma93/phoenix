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Sheet1!$A$1:$L$23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<sst xmlns="http://schemas.openxmlformats.org/spreadsheetml/2006/main" count="128" uniqueCount="77">
  <si>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</si>
  <si>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</si>
  <si>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</si>
  <si>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</si>
  <si>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</si>
  <si>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</si>
  <si>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</si>
  <si>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</si>
  <si>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</si>
  <si>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</si>
  <si>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</si>
  <si>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</si>
  <si>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112-4795461-4487440</t>
  </si>
  <si>
    <t>wooden board</t>
  </si>
  <si>
    <t>66909dbe5da9b</t>
  </si>
  <si>
    <t>Maria Elena joaquin</t>
  </si>
  <si>
    <t>636 LORELI LN</t>
  </si>
  <si>
    <t>PATTERSON</t>
  </si>
  <si>
    <t>95363-9440</t>
  </si>
  <si>
    <t>CA</t>
  </si>
  <si>
    <t>US</t>
  </si>
  <si>
    <t>112-9156811-7005010</t>
  </si>
  <si>
    <t>Krista Haehl</t>
  </si>
  <si>
    <t>16990 MARBELLA CT</t>
  </si>
  <si>
    <t>MORGAN HILL</t>
  </si>
  <si>
    <t>95037-7042</t>
  </si>
  <si>
    <t>111-8602916-1101031</t>
  </si>
  <si>
    <t>Sarah Border</t>
  </si>
  <si>
    <t>6114 E SAN CRISTOBAL ST</t>
  </si>
  <si>
    <t>TUCSON</t>
  </si>
  <si>
    <t>85715-3012</t>
  </si>
  <si>
    <t>AZ</t>
  </si>
  <si>
    <t>111-3729028-7293816</t>
  </si>
  <si>
    <t>Oscar Villanueva</t>
  </si>
  <si>
    <t>518 W CHESTNUT ST</t>
  </si>
  <si>
    <t>OXFORD</t>
  </si>
  <si>
    <t>45056-2562</t>
  </si>
  <si>
    <t>OH</t>
  </si>
  <si>
    <t>113-6476603-3886655</t>
  </si>
  <si>
    <t>David Schloss</t>
  </si>
  <si>
    <t>146 PIERREPONT ST APT 17A</t>
  </si>
  <si>
    <t>BROOKLYN</t>
  </si>
  <si>
    <t>11201-2844</t>
  </si>
  <si>
    <t>NY</t>
  </si>
  <si>
    <t>112-3502577-2761864</t>
  </si>
  <si>
    <t>Kevin Peet</t>
  </si>
  <si>
    <t>11406 CRESTBROOK PARK LN</t>
  </si>
  <si>
    <t>TOMBALL</t>
  </si>
  <si>
    <t>77375-2252</t>
  </si>
  <si>
    <t>TX</t>
  </si>
  <si>
    <t>113-9060584-6357856</t>
  </si>
  <si>
    <t>Alicia Potts</t>
  </si>
  <si>
    <t>238 CORNELIUS ST</t>
  </si>
  <si>
    <t>BAYVILLE</t>
  </si>
  <si>
    <t>08721-3556</t>
  </si>
  <si>
    <t>NJ</t>
  </si>
  <si>
    <t>112-9610474-6462669-re</t>
  </si>
  <si>
    <t>taylor wnek</t>
  </si>
  <si>
    <t>633 GRANT AVE</t>
  </si>
  <si>
    <t>WOODBINE</t>
  </si>
  <si>
    <t>08270-2008</t>
  </si>
  <si>
    <t>112-2019760-9765048-re</t>
  </si>
  <si>
    <t>Jayla Brent</t>
  </si>
  <si>
    <t>23748 AMESFIELD PL</t>
  </si>
  <si>
    <t>ALDIE</t>
  </si>
  <si>
    <t>20105-2882</t>
  </si>
  <si>
    <t>VA</t>
  </si>
  <si>
    <t>111-9000548-2534641-re</t>
  </si>
  <si>
    <t>Katie Rasmussen</t>
  </si>
  <si>
    <t>10351 MOORPARK ST</t>
  </si>
  <si>
    <t>SPRING VALLEY</t>
  </si>
  <si>
    <t>91978-1508</t>
  </si>
  <si>
    <t>TK18250</t>
  </si>
  <si>
    <t>Jessica Dellorso</t>
  </si>
  <si>
    <t>1133 Morvenwood Road</t>
  </si>
  <si>
    <t>Jacksonville</t>
  </si>
  <si>
    <t>FL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</si>
</sst>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4" fillId="3" fontId="4" numFmtId="0" xfId="0" applyAlignment="1" applyBorder="1" applyFill="1" applyFont="1">
      <alignment horizontal="left"/>
    </xf>
    <xf borderId="0" fillId="0" fontId="2" numFmtId="0" xfId="0" applyFont="1"/>
    <xf borderId="5" fillId="3" fontId="4" numFmtId="0" xfId="0" applyAlignment="1" applyBorder="1" applyFont="1">
      <alignment horizontal="left"/>
    </xf>
    <xf borderId="0" fillId="0" fontId="5" numFmtId="0" xfId="0" applyAlignment="1" applyFont="1">
      <alignment vertical="bottom"/>
    </xf>
    <xf borderId="6" fillId="3" fontId="4" numFmtId="0" xfId="0" applyAlignment="1" applyBorder="1" applyFont="1">
      <alignment horizontal="left" readingOrder="0"/>
    </xf>
    <xf borderId="6" fillId="3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.5" customHeight="1">
      <c r="A2" s="4" t="s">
        <v>12</v>
      </c>
      <c r="B2" s="5" t="s">
        <v>13</v>
      </c>
      <c r="C2" s="5" t="s">
        <v>14</v>
      </c>
      <c r="D2" s="6">
        <v>1.0</v>
      </c>
      <c r="E2" s="4" t="s">
        <v>15</v>
      </c>
      <c r="F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>
        <v>2.09496178E9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4.5" customHeight="1">
      <c r="A3" s="4" t="s">
        <v>21</v>
      </c>
      <c r="B3" s="5" t="s">
        <v>13</v>
      </c>
      <c r="C3" s="5" t="s">
        <v>14</v>
      </c>
      <c r="D3" s="6">
        <v>1.0</v>
      </c>
      <c r="E3" s="4" t="s">
        <v>22</v>
      </c>
      <c r="F3" s="4" t="s">
        <v>23</v>
      </c>
      <c r="H3" s="4" t="s">
        <v>24</v>
      </c>
      <c r="I3" s="4" t="s">
        <v>25</v>
      </c>
      <c r="J3" s="4" t="s">
        <v>19</v>
      </c>
      <c r="K3" s="4" t="s">
        <v>20</v>
      </c>
      <c r="L3" s="8">
        <f>+13602719927</f>
        <v>13602719927</v>
      </c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4.5" customHeight="1">
      <c r="A4" s="4" t="s">
        <v>26</v>
      </c>
      <c r="B4" s="5" t="s">
        <v>13</v>
      </c>
      <c r="C4" s="5" t="s">
        <v>14</v>
      </c>
      <c r="D4" s="6">
        <v>1.0</v>
      </c>
      <c r="E4" s="4" t="s">
        <v>27</v>
      </c>
      <c r="F4" s="4" t="s">
        <v>28</v>
      </c>
      <c r="H4" s="4" t="s">
        <v>29</v>
      </c>
      <c r="I4" s="4" t="s">
        <v>30</v>
      </c>
      <c r="J4" s="4" t="s">
        <v>31</v>
      </c>
      <c r="K4" s="4" t="s">
        <v>20</v>
      </c>
      <c r="L4" s="8">
        <f>+15204190207</f>
        <v>15204190207</v>
      </c>
      <c r="M4" s="9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4.5" customHeight="1">
      <c r="A5" s="4" t="s">
        <v>32</v>
      </c>
      <c r="B5" s="5" t="s">
        <v>13</v>
      </c>
      <c r="C5" s="5" t="s">
        <v>14</v>
      </c>
      <c r="D5" s="6">
        <v>1.0</v>
      </c>
      <c r="E5" s="4" t="s">
        <v>33</v>
      </c>
      <c r="F5" s="4" t="s">
        <v>34</v>
      </c>
      <c r="H5" s="4" t="s">
        <v>35</v>
      </c>
      <c r="I5" s="4" t="s">
        <v>36</v>
      </c>
      <c r="J5" s="4" t="s">
        <v>37</v>
      </c>
      <c r="K5" s="4" t="s">
        <v>20</v>
      </c>
      <c r="L5" s="4">
        <v>5.132089415E9</v>
      </c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4.5" customHeight="1">
      <c r="A6" s="4" t="s">
        <v>38</v>
      </c>
      <c r="B6" s="5" t="s">
        <v>13</v>
      </c>
      <c r="C6" s="5" t="s">
        <v>14</v>
      </c>
      <c r="D6" s="6">
        <v>1.0</v>
      </c>
      <c r="E6" s="4" t="s">
        <v>39</v>
      </c>
      <c r="F6" s="4" t="s">
        <v>40</v>
      </c>
      <c r="H6" s="4" t="s">
        <v>41</v>
      </c>
      <c r="I6" s="4" t="s">
        <v>42</v>
      </c>
      <c r="J6" s="4" t="s">
        <v>43</v>
      </c>
      <c r="K6" s="4" t="s">
        <v>20</v>
      </c>
      <c r="L6" s="8">
        <f t="shared" ref="L6:L7" si="1">+15163985479</f>
        <v>15163985479</v>
      </c>
      <c r="M6" s="9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4.5" customHeight="1">
      <c r="A7" s="4" t="s">
        <v>38</v>
      </c>
      <c r="B7" s="5" t="s">
        <v>13</v>
      </c>
      <c r="C7" s="5" t="s">
        <v>14</v>
      </c>
      <c r="D7" s="6">
        <v>1.0</v>
      </c>
      <c r="E7" s="4" t="s">
        <v>39</v>
      </c>
      <c r="F7" s="4" t="s">
        <v>40</v>
      </c>
      <c r="H7" s="4" t="s">
        <v>41</v>
      </c>
      <c r="I7" s="4" t="s">
        <v>42</v>
      </c>
      <c r="J7" s="4" t="s">
        <v>43</v>
      </c>
      <c r="K7" s="4" t="s">
        <v>20</v>
      </c>
      <c r="L7" s="8">
        <f t="shared" si="1"/>
        <v>15163985479</v>
      </c>
      <c r="M7" s="9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4.5" customHeight="1">
      <c r="A8" s="4" t="s">
        <v>44</v>
      </c>
      <c r="B8" s="5" t="s">
        <v>13</v>
      </c>
      <c r="C8" s="5" t="s">
        <v>14</v>
      </c>
      <c r="D8" s="6">
        <v>1.0</v>
      </c>
      <c r="E8" s="4" t="s">
        <v>45</v>
      </c>
      <c r="F8" s="4" t="s">
        <v>46</v>
      </c>
      <c r="H8" s="4" t="s">
        <v>47</v>
      </c>
      <c r="I8" s="4" t="s">
        <v>48</v>
      </c>
      <c r="J8" s="4" t="s">
        <v>49</v>
      </c>
      <c r="K8" s="4" t="s">
        <v>20</v>
      </c>
      <c r="L8" s="8">
        <f t="shared" ref="L8:L9" si="2">+12102155995</f>
        <v>12102155995</v>
      </c>
      <c r="M8" s="9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4.5" customHeight="1">
      <c r="A9" s="4" t="s">
        <v>44</v>
      </c>
      <c r="B9" s="5" t="s">
        <v>13</v>
      </c>
      <c r="C9" s="5" t="s">
        <v>14</v>
      </c>
      <c r="D9" s="6">
        <v>1.0</v>
      </c>
      <c r="E9" s="4" t="s">
        <v>45</v>
      </c>
      <c r="F9" s="4" t="s">
        <v>46</v>
      </c>
      <c r="H9" s="4" t="s">
        <v>47</v>
      </c>
      <c r="I9" s="4" t="s">
        <v>48</v>
      </c>
      <c r="J9" s="4" t="s">
        <v>49</v>
      </c>
      <c r="K9" s="4" t="s">
        <v>20</v>
      </c>
      <c r="L9" s="8">
        <f t="shared" si="2"/>
        <v>12102155995</v>
      </c>
      <c r="M9" s="9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4.5" customHeight="1">
      <c r="A10" s="4" t="s">
        <v>50</v>
      </c>
      <c r="B10" s="5" t="s">
        <v>13</v>
      </c>
      <c r="C10" s="5" t="s">
        <v>14</v>
      </c>
      <c r="D10" s="6">
        <v>1.0</v>
      </c>
      <c r="E10" s="4" t="s">
        <v>51</v>
      </c>
      <c r="F10" s="4" t="s">
        <v>52</v>
      </c>
      <c r="H10" s="4" t="s">
        <v>53</v>
      </c>
      <c r="I10" s="4" t="s">
        <v>54</v>
      </c>
      <c r="J10" s="4" t="s">
        <v>55</v>
      </c>
      <c r="K10" s="4" t="s">
        <v>20</v>
      </c>
      <c r="L10" s="8">
        <f>+12672629763</f>
        <v>12672629763</v>
      </c>
      <c r="M10" s="9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4.5" customHeight="1">
      <c r="A11" s="4" t="s">
        <v>56</v>
      </c>
      <c r="B11" s="5" t="s">
        <v>13</v>
      </c>
      <c r="C11" s="5" t="s">
        <v>14</v>
      </c>
      <c r="D11" s="6">
        <v>1.0</v>
      </c>
      <c r="E11" s="4" t="s">
        <v>57</v>
      </c>
      <c r="F11" s="4" t="s">
        <v>58</v>
      </c>
      <c r="H11" s="4" t="s">
        <v>59</v>
      </c>
      <c r="I11" s="4" t="s">
        <v>60</v>
      </c>
      <c r="J11" s="4" t="s">
        <v>55</v>
      </c>
      <c r="K11" s="4" t="s">
        <v>20</v>
      </c>
      <c r="L11" s="4">
        <v>6.092311185E9</v>
      </c>
      <c r="M11" s="9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4.5" customHeight="1">
      <c r="A12" s="4" t="s">
        <v>61</v>
      </c>
      <c r="B12" s="5" t="s">
        <v>13</v>
      </c>
      <c r="C12" s="5" t="s">
        <v>14</v>
      </c>
      <c r="D12" s="6">
        <v>1.0</v>
      </c>
      <c r="E12" s="4" t="s">
        <v>62</v>
      </c>
      <c r="F12" s="4" t="s">
        <v>63</v>
      </c>
      <c r="H12" s="4" t="s">
        <v>64</v>
      </c>
      <c r="I12" s="4" t="s">
        <v>65</v>
      </c>
      <c r="J12" s="4" t="s">
        <v>66</v>
      </c>
      <c r="K12" s="4" t="s">
        <v>20</v>
      </c>
      <c r="L12" s="8">
        <f>+16128178125</f>
        <v>16128178125</v>
      </c>
      <c r="M12" s="9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4.5" customHeight="1">
      <c r="A13" s="4" t="s">
        <v>67</v>
      </c>
      <c r="B13" s="5" t="s">
        <v>13</v>
      </c>
      <c r="C13" s="5" t="s">
        <v>14</v>
      </c>
      <c r="D13" s="6">
        <v>1.0</v>
      </c>
      <c r="E13" s="4" t="s">
        <v>68</v>
      </c>
      <c r="F13" s="4" t="s">
        <v>69</v>
      </c>
      <c r="H13" s="4" t="s">
        <v>70</v>
      </c>
      <c r="I13" s="4" t="s">
        <v>71</v>
      </c>
      <c r="J13" s="4" t="s">
        <v>19</v>
      </c>
      <c r="K13" s="4" t="s">
        <v>20</v>
      </c>
      <c r="L13" s="8">
        <f>+19512128773</f>
        <v>19512128773</v>
      </c>
      <c r="M13" s="9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4.5" customHeight="1">
      <c r="A14" s="4" t="s">
        <v>72</v>
      </c>
      <c r="B14" s="5" t="s">
        <v>13</v>
      </c>
      <c r="C14" s="5" t="s">
        <v>14</v>
      </c>
      <c r="D14" s="6">
        <v>1.0</v>
      </c>
      <c r="E14" s="4" t="s">
        <v>73</v>
      </c>
      <c r="F14" s="4" t="s">
        <v>74</v>
      </c>
      <c r="H14" s="4" t="s">
        <v>75</v>
      </c>
      <c r="I14" s="4">
        <v>32207.0</v>
      </c>
      <c r="J14" s="4" t="s">
        <v>76</v>
      </c>
      <c r="K14" s="4" t="s">
        <v>20</v>
      </c>
      <c r="M14" s="9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4.5" customHeight="1">
      <c r="B15" s="5"/>
      <c r="C15" s="5"/>
      <c r="D15" s="6"/>
      <c r="M15" s="9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B16" s="5"/>
      <c r="C16" s="5"/>
      <c r="D16" s="6"/>
      <c r="M16" s="9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>
      <c r="B17" s="5"/>
      <c r="C17" s="5"/>
      <c r="D17" s="6"/>
      <c r="M17" s="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B18" s="5"/>
      <c r="C18" s="5"/>
      <c r="D18" s="6"/>
      <c r="M18" s="9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B19" s="5"/>
      <c r="C19" s="5"/>
      <c r="D19" s="6"/>
      <c r="M19" s="9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B20" s="10"/>
      <c r="C20" s="10"/>
      <c r="D20" s="6"/>
      <c r="M20" s="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B21" s="10"/>
      <c r="C21" s="10"/>
      <c r="D21" s="6"/>
      <c r="M21" s="9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B22" s="10"/>
      <c r="C22" s="10"/>
      <c r="D22" s="6"/>
      <c r="J22" s="11"/>
      <c r="M22" s="9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>
      <c r="B23" s="10"/>
      <c r="C23" s="10"/>
      <c r="D23" s="6"/>
      <c r="E23" s="11"/>
      <c r="F23" s="11"/>
      <c r="H23" s="11"/>
      <c r="I23" s="11"/>
      <c r="J23" s="11"/>
      <c r="L23" s="11"/>
      <c r="M23" s="9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9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9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9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9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9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4.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9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4.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9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4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9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4.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9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4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9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4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9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4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9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4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9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4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9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4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9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4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9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4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9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4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9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4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9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4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9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4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9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4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9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4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9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4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9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4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9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4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9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4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9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4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9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4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9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4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9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4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9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4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9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4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9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4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9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4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9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4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9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4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9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4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9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4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9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4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9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4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9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4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9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4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9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4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9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4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9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4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9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4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9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4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9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4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9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4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9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4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9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4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9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4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9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4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9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4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9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4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9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4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9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4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9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4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9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4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9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4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9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4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9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4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9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4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9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4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9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4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9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4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9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4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9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4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9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4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9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4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9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4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9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4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9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4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9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4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9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4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9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4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9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4.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9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4.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9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4.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9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4.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9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4.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9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4.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9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4.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9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4.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9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4.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9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4.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9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4.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9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4.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9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4.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9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4.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9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4.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9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4.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9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4.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9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4.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9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4.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9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4.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9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4.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9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4.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9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4.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9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4.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9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4.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9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4.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9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4.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9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4.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9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4.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9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4.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9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4.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9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4.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9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4.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9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4.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9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4.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9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4.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9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4.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9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4.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9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4.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9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4.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9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4.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9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4.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9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4.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9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4.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9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4.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9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4.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9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4.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9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4.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9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4.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9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4.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9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4.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9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4.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9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4.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9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4.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9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4.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9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4.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9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4.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9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4.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9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4.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9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4.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9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4.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9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4.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9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4.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9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4.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9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4.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9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4.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9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4.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9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4.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9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4.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9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4.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9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4.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9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4.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9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4.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9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4.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9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4.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9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4.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9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4.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9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4.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9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4.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9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4.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9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4.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9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4.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9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4.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9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4.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9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4.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9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4.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9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4.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9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4.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9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4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9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4.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9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4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9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4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9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4.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9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4.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9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4.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9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4.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9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4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9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4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9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4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9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4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9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4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9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4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9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4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9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4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9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4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9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4.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9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4.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9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4.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9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4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9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4.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9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4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9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4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9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4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9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4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9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4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9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4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9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4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9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4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9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4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9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4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9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4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9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4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9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4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9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4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9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4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9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4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9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4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9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4.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9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4.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9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4.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9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4.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9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4.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9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4.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9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4.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9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4.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9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4.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9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4.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9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4.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9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4.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9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4.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9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4.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9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4.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9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4.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9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4.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9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4.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9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4.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9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4.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9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4.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9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4.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9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4.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9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4.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9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4.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9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4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9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4.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9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4.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9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4.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9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4.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9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4.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9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4.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9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4.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9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4.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9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4.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9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4.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9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4.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9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4.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9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4.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9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4.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9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4.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9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4.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9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4.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9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4.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9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4.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9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4.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9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4.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9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4.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9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4.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9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4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9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4.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9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4.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9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4.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9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4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9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4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9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4.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9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4.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9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4.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9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4.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9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4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9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4.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9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4.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9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4.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9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4.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9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4.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9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4.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9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4.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9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4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9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4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9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4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9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4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9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4.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9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4.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9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4.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9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4.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9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4.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9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4.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9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4.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9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4.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9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4.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9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4.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9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4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9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4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9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4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9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4.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9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4.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9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4.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9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4.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9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4.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9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4.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9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4.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9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4.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9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4.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9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4.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9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4.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9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4.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9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4.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9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4.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9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4.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9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4.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9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4.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9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4.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9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4.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9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4.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9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4.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9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4.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9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4.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9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4.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9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4.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9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4.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9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4.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9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4.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9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4.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9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4.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9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4.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9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4.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9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4.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9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4.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9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4.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9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4.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9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4.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9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4.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9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4.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9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4.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9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4.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9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4.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9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4.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9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4.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9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4.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9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4.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9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4.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9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4.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9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4.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9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4.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9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4.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9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4.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9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4.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9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4.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9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4.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9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4.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9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4.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9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4.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9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4.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9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4.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9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4.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9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4.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9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4.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9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4.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9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4.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9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4.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9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4.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9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4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9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4.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9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4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9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4.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9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4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9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4.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9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4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9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4.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9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4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9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4.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9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4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9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4.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9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4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9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4.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9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4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9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4.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9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4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9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4.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9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4.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9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4.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9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4.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9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4.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9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4.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9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4.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9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4.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9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4.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9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4.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9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4.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9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4.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9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4.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9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4.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9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4.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9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4.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9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4.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9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4.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9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4.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9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4.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9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4.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9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4.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9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4.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9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4.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9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4.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9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4.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9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4.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9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4.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9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4.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9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4.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9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4.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9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4.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9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4.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9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4.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9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4.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9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4.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9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4.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9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4.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9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4.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9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4.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9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4.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9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4.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9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4.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9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4.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9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4.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9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4.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9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4.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9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4.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9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4.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9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4.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9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4.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9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4.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9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4.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9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4.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9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4.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9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4.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9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4.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9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4.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9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4.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9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4.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9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4.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9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4.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9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4.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9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4.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9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4.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9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4.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9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4.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9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4.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9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4.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9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4.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9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4.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9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4.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9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4.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9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4.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9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4.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9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4.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9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4.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9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4.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9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4.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9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4.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9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4.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9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4.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9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4.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9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4.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9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4.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9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4.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9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4.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9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4.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9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4.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9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4.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9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4.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9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4.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9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4.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9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4.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9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4.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9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4.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9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4.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9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4.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9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4.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9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4.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9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4.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9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4.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9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4.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9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4.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9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4.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9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4.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9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4.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9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4.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9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4.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9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4.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9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4.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9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4.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9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4.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9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4.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9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4.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9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4.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9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4.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9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4.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9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4.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9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4.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9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4.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9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4.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9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4.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9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4.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9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4.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9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4.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9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4.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9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4.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9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4.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9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4.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9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4.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9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4.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9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4.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9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4.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9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4.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9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4.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9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4.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9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4.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9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4.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9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4.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9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4.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9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4.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9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4.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9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4.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9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4.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9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4.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9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4.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9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4.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9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4.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9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4.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9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4.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9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4.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9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4.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9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4.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9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4.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9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4.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9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4.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9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4.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9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4.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9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4.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9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4.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9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4.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9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4.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9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4.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9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4.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9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4.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9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4.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9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</sheetData>
  <autoFilter ref="$A$1:$L$23">
    <sortState ref="A1:L23">
      <sortCondition ref="E1:E2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